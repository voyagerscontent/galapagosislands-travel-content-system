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sitor Sites" sheetId="1" state="visible" r:id="rId1"/>
    <sheet name="Itineraries" sheetId="2" state="visible" r:id="rId2"/>
    <sheet name="Constants" sheetId="3" state="visible" r:id="rId3"/>
    <sheet name="Itinerary model" sheetId="4" state="visible" r:id="rId4"/>
    <sheet name="How to use" sheetId="5" state="visible" r:id="rId5"/>
  </sheets>
  <definedNames>
    <definedName name="Wq_site">Constants!$B$2</definedName>
    <definedName name="Wq_bio">Constants!$B$3</definedName>
    <definedName name="Wq_iconic">Constants!$B$4</definedName>
    <definedName name="Wq_scenic">Constants!$B$5</definedName>
    <definedName name="Wq_snorkel">Constants!$B$6</definedName>
    <definedName name="Wq_beach">Constants!$B$7</definedName>
    <definedName name="WildBonus">Constants!$B$8</definedName>
    <definedName name="WildCap">Constants!$B$9</definedName>
    <definedName name="Wit_quality">Constants!$B$10</definedName>
    <definedName name="Wit_nav">Constants!$B$11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5">
    <fill>
      <patternFill/>
    </fill>
    <fill>
      <patternFill patternType="gray125"/>
    </fill>
    <fill>
      <patternFill patternType="solid">
        <fgColor rgb="001F6F54"/>
      </patternFill>
    </fill>
    <fill>
      <patternFill patternType="solid">
        <fgColor rgb="00FFF8E1"/>
      </patternFill>
    </fill>
    <fill>
      <patternFill patternType="solid">
        <fgColor rgb="00EAF2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4" borderId="0" pivotButton="0" quotePrefix="0" xfId="0"/>
    <xf numFmtId="0" fontId="0" fillId="3"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6" customWidth="1" min="3" max="3"/>
    <col width="6" customWidth="1" min="4" max="4"/>
    <col width="8" customWidth="1" min="5" max="5"/>
    <col width="7" customWidth="1" min="6" max="6"/>
    <col width="7" customWidth="1" min="7" max="7"/>
    <col width="8" customWidth="1" min="8" max="8"/>
    <col width="7" customWidth="1" min="9" max="9"/>
    <col width="10" customWidth="1" min="10" max="10"/>
    <col width="11" customWidth="1" min="11" max="11"/>
    <col width="9" customWidth="1" min="12" max="12"/>
    <col width="10" customWidth="1" min="13" max="13"/>
  </cols>
  <sheetData>
    <row r="1">
      <c r="A1" s="1" t="inlineStr">
        <is>
          <t>Rank</t>
        </is>
      </c>
      <c r="B1" s="1" t="inlineStr">
        <is>
          <t>Visitor Site</t>
        </is>
      </c>
      <c r="C1" s="1" t="inlineStr">
        <is>
          <t>Island</t>
        </is>
      </c>
      <c r="D1" s="1" t="inlineStr">
        <is>
          <t>Site</t>
        </is>
      </c>
      <c r="E1" s="1" t="inlineStr">
        <is>
          <t>Biodiv.</t>
        </is>
      </c>
      <c r="F1" s="1" t="inlineStr">
        <is>
          <t>Iconic</t>
        </is>
      </c>
      <c r="G1" s="1" t="inlineStr">
        <is>
          <t>Scenic</t>
        </is>
      </c>
      <c r="H1" s="1" t="inlineStr">
        <is>
          <t>Snorkel</t>
        </is>
      </c>
      <c r="I1" s="1" t="inlineStr">
        <is>
          <t>Beach</t>
        </is>
      </c>
      <c r="J1" s="1" t="inlineStr">
        <is>
          <t>Wildlife #</t>
        </is>
      </c>
      <c r="K1" s="1" t="inlineStr">
        <is>
          <t>Isolation nm</t>
        </is>
      </c>
      <c r="L1" s="1" t="inlineStr">
        <is>
          <t>Quality</t>
        </is>
      </c>
      <c r="M1" s="1" t="inlineStr">
        <is>
          <t>Efficiency</t>
        </is>
      </c>
    </row>
    <row r="2">
      <c r="A2" s="2">
        <f>IF(M2="","",RANK(M2,$M$2:$M$69))</f>
        <v/>
      </c>
      <c r="B2" t="inlineStr">
        <is>
          <t>Española Island, Punta Suarez</t>
        </is>
      </c>
      <c r="C2" t="inlineStr">
        <is>
          <t>Española</t>
        </is>
      </c>
      <c r="D2" s="3" t="n">
        <v>90</v>
      </c>
      <c r="E2" s="3" t="n">
        <v>93</v>
      </c>
      <c r="F2" s="3" t="n">
        <v>94</v>
      </c>
      <c r="G2" s="3" t="n">
        <v>84</v>
      </c>
      <c r="H2" s="3" t="n"/>
      <c r="I2" s="3" t="n"/>
      <c r="J2" s="3" t="n">
        <v>7</v>
      </c>
      <c r="K2" s="3" t="n">
        <v>67.5</v>
      </c>
      <c r="L2" s="2">
        <f>IF((Wq_site*IF(D2="",0,1)+Wq_bio*IF(E2="",0,1)+Wq_iconic*IF(F2="",0,1)+Wq_scenic*IF(G2="",0,1)+Wq_snorkel*IF(H2="",0,1)+Wq_beach*IF(I2="",0,1))=0,"",(Wq_site*IF(D2="",0,D2)+Wq_bio*IF(E2="",0,E2)+Wq_iconic*IF(F2="",0,F2)+Wq_scenic*IF(G2="",0,G2)+Wq_snorkel*IF(H2="",0,H2)+Wq_beach*IF(I2="",0,I2))/(Wq_site*IF(D2="",0,1)+Wq_bio*IF(E2="",0,1)+Wq_iconic*IF(F2="",0,1)+Wq_scenic*IF(G2="",0,1)+Wq_snorkel*IF(H2="",0,1)+Wq_beach*IF(I2="",0,1))+MIN(WildCap,IF(J2="",0,J2)*WildBonus))</f>
        <v/>
      </c>
      <c r="M2" s="2">
        <f>IF(L2="","",ROUND(L2/(1+IF(K2="",0,K2)/120),1))</f>
        <v/>
      </c>
    </row>
    <row r="3">
      <c r="A3" s="2">
        <f>IF(M3="","",RANK(M3,$M$2:$M$69))</f>
        <v/>
      </c>
      <c r="B3" t="inlineStr">
        <is>
          <t>Fernandina Island, Punta Espinoza</t>
        </is>
      </c>
      <c r="C3" t="inlineStr">
        <is>
          <t>Fernandina</t>
        </is>
      </c>
      <c r="D3" s="3" t="n">
        <v>90</v>
      </c>
      <c r="E3" s="3" t="n">
        <v>93</v>
      </c>
      <c r="F3" s="3" t="n">
        <v>94</v>
      </c>
      <c r="G3" s="3" t="n">
        <v>91</v>
      </c>
      <c r="H3" s="3" t="n">
        <v>83</v>
      </c>
      <c r="I3" s="3" t="n"/>
      <c r="J3" s="3" t="n">
        <v>4</v>
      </c>
      <c r="K3" s="3" t="n">
        <v>75</v>
      </c>
      <c r="L3" s="2">
        <f>IF((Wq_site*IF(D3="",0,1)+Wq_bio*IF(E3="",0,1)+Wq_iconic*IF(F3="",0,1)+Wq_scenic*IF(G3="",0,1)+Wq_snorkel*IF(H3="",0,1)+Wq_beach*IF(I3="",0,1))=0,"",(Wq_site*IF(D3="",0,D3)+Wq_bio*IF(E3="",0,E3)+Wq_iconic*IF(F3="",0,F3)+Wq_scenic*IF(G3="",0,G3)+Wq_snorkel*IF(H3="",0,H3)+Wq_beach*IF(I3="",0,I3))/(Wq_site*IF(D3="",0,1)+Wq_bio*IF(E3="",0,1)+Wq_iconic*IF(F3="",0,1)+Wq_scenic*IF(G3="",0,1)+Wq_snorkel*IF(H3="",0,1)+Wq_beach*IF(I3="",0,1))+MIN(WildCap,IF(J3="",0,J3)*WildBonus))</f>
        <v/>
      </c>
      <c r="M3" s="2">
        <f>IF(L3="","",ROUND(L3/(1+IF(K3="",0,K3)/120),1))</f>
        <v/>
      </c>
    </row>
    <row r="4">
      <c r="A4" s="2">
        <f>IF(M4="","",RANK(M4,$M$2:$M$69))</f>
        <v/>
      </c>
      <c r="B4" t="inlineStr">
        <is>
          <t>Isabela, Punta Vicente Roca</t>
        </is>
      </c>
      <c r="C4" t="inlineStr">
        <is>
          <t>Isabela</t>
        </is>
      </c>
      <c r="D4" s="3" t="n">
        <v>86</v>
      </c>
      <c r="E4" s="3" t="n">
        <v>86</v>
      </c>
      <c r="F4" s="3" t="n">
        <v>82</v>
      </c>
      <c r="G4" s="3" t="n">
        <v>88</v>
      </c>
      <c r="H4" s="3" t="n">
        <v>90</v>
      </c>
      <c r="I4" s="3" t="n"/>
      <c r="J4" s="3" t="n">
        <v>4</v>
      </c>
      <c r="K4" s="3" t="n">
        <v>50.6</v>
      </c>
      <c r="L4" s="2">
        <f>IF((Wq_site*IF(D4="",0,1)+Wq_bio*IF(E4="",0,1)+Wq_iconic*IF(F4="",0,1)+Wq_scenic*IF(G4="",0,1)+Wq_snorkel*IF(H4="",0,1)+Wq_beach*IF(I4="",0,1))=0,"",(Wq_site*IF(D4="",0,D4)+Wq_bio*IF(E4="",0,E4)+Wq_iconic*IF(F4="",0,F4)+Wq_scenic*IF(G4="",0,G4)+Wq_snorkel*IF(H4="",0,H4)+Wq_beach*IF(I4="",0,I4))/(Wq_site*IF(D4="",0,1)+Wq_bio*IF(E4="",0,1)+Wq_iconic*IF(F4="",0,1)+Wq_scenic*IF(G4="",0,1)+Wq_snorkel*IF(H4="",0,1)+Wq_beach*IF(I4="",0,1))+MIN(WildCap,IF(J4="",0,J4)*WildBonus))</f>
        <v/>
      </c>
      <c r="M4" s="2">
        <f>IF(L4="","",ROUND(L4/(1+IF(K4="",0,K4)/120),1))</f>
        <v/>
      </c>
    </row>
    <row r="5">
      <c r="A5" s="2">
        <f>IF(M5="","",RANK(M5,$M$2:$M$69))</f>
        <v/>
      </c>
      <c r="B5" t="inlineStr">
        <is>
          <t>Genovesa Island, Prince Phillip's Steps</t>
        </is>
      </c>
      <c r="C5" t="inlineStr">
        <is>
          <t>Genovesa</t>
        </is>
      </c>
      <c r="D5" s="3" t="n">
        <v>84</v>
      </c>
      <c r="E5" s="3" t="n">
        <v>87</v>
      </c>
      <c r="F5" s="3" t="n">
        <v>88</v>
      </c>
      <c r="G5" s="3" t="n">
        <v>86</v>
      </c>
      <c r="H5" s="3" t="n">
        <v>76</v>
      </c>
      <c r="I5" s="3" t="n"/>
      <c r="J5" s="3" t="n">
        <v>3</v>
      </c>
      <c r="K5" s="3" t="n">
        <v>49.1</v>
      </c>
      <c r="L5" s="2">
        <f>IF((Wq_site*IF(D5="",0,1)+Wq_bio*IF(E5="",0,1)+Wq_iconic*IF(F5="",0,1)+Wq_scenic*IF(G5="",0,1)+Wq_snorkel*IF(H5="",0,1)+Wq_beach*IF(I5="",0,1))=0,"",(Wq_site*IF(D5="",0,D5)+Wq_bio*IF(E5="",0,E5)+Wq_iconic*IF(F5="",0,F5)+Wq_scenic*IF(G5="",0,G5)+Wq_snorkel*IF(H5="",0,H5)+Wq_beach*IF(I5="",0,I5))/(Wq_site*IF(D5="",0,1)+Wq_bio*IF(E5="",0,1)+Wq_iconic*IF(F5="",0,1)+Wq_scenic*IF(G5="",0,1)+Wq_snorkel*IF(H5="",0,1)+Wq_beach*IF(I5="",0,1))+MIN(WildCap,IF(J5="",0,J5)*WildBonus))</f>
        <v/>
      </c>
      <c r="M5" s="2">
        <f>IF(L5="","",ROUND(L5/(1+IF(K5="",0,K5)/120),1))</f>
        <v/>
      </c>
    </row>
    <row r="6">
      <c r="A6" s="2">
        <f>IF(M6="","",RANK(M6,$M$2:$M$69))</f>
        <v/>
      </c>
      <c r="B6" t="inlineStr">
        <is>
          <t>Floreana Island, Devil's Crown</t>
        </is>
      </c>
      <c r="C6" t="inlineStr">
        <is>
          <t>Floreana</t>
        </is>
      </c>
      <c r="D6" s="3" t="n">
        <v>80</v>
      </c>
      <c r="E6" s="3" t="n">
        <v>80</v>
      </c>
      <c r="F6" s="3" t="n">
        <v>73</v>
      </c>
      <c r="G6" s="3" t="n">
        <v>77</v>
      </c>
      <c r="H6" s="3" t="n">
        <v>91</v>
      </c>
      <c r="I6" s="3" t="n"/>
      <c r="J6" s="3" t="n">
        <v>4</v>
      </c>
      <c r="K6" s="3" t="n">
        <v>52.4</v>
      </c>
      <c r="L6" s="2">
        <f>IF((Wq_site*IF(D6="",0,1)+Wq_bio*IF(E6="",0,1)+Wq_iconic*IF(F6="",0,1)+Wq_scenic*IF(G6="",0,1)+Wq_snorkel*IF(H6="",0,1)+Wq_beach*IF(I6="",0,1))=0,"",(Wq_site*IF(D6="",0,D6)+Wq_bio*IF(E6="",0,E6)+Wq_iconic*IF(F6="",0,F6)+Wq_scenic*IF(G6="",0,G6)+Wq_snorkel*IF(H6="",0,H6)+Wq_beach*IF(I6="",0,I6))/(Wq_site*IF(D6="",0,1)+Wq_bio*IF(E6="",0,1)+Wq_iconic*IF(F6="",0,1)+Wq_scenic*IF(G6="",0,1)+Wq_snorkel*IF(H6="",0,1)+Wq_beach*IF(I6="",0,1))+MIN(WildCap,IF(J6="",0,J6)*WildBonus))</f>
        <v/>
      </c>
      <c r="M6" s="2">
        <f>IF(L6="","",ROUND(L6/(1+IF(K6="",0,K6)/120),1))</f>
        <v/>
      </c>
    </row>
    <row r="7">
      <c r="A7" s="2">
        <f>IF(M7="","",RANK(M7,$M$2:$M$69))</f>
        <v/>
      </c>
      <c r="B7" t="inlineStr">
        <is>
          <t>North Seymour Island</t>
        </is>
      </c>
      <c r="C7" t="inlineStr">
        <is>
          <t>North Seymour</t>
        </is>
      </c>
      <c r="D7" s="3" t="n">
        <v>83</v>
      </c>
      <c r="E7" s="3" t="n">
        <v>87</v>
      </c>
      <c r="F7" s="3" t="n">
        <v>89</v>
      </c>
      <c r="G7" s="3" t="n">
        <v>70</v>
      </c>
      <c r="H7" s="3" t="n">
        <v>87</v>
      </c>
      <c r="I7" s="3" t="n"/>
      <c r="J7" s="3" t="n">
        <v>2</v>
      </c>
      <c r="K7" s="3" t="n">
        <v>2.1</v>
      </c>
      <c r="L7" s="2">
        <f>IF((Wq_site*IF(D7="",0,1)+Wq_bio*IF(E7="",0,1)+Wq_iconic*IF(F7="",0,1)+Wq_scenic*IF(G7="",0,1)+Wq_snorkel*IF(H7="",0,1)+Wq_beach*IF(I7="",0,1))=0,"",(Wq_site*IF(D7="",0,D7)+Wq_bio*IF(E7="",0,E7)+Wq_iconic*IF(F7="",0,F7)+Wq_scenic*IF(G7="",0,G7)+Wq_snorkel*IF(H7="",0,H7)+Wq_beach*IF(I7="",0,I7))/(Wq_site*IF(D7="",0,1)+Wq_bio*IF(E7="",0,1)+Wq_iconic*IF(F7="",0,1)+Wq_scenic*IF(G7="",0,1)+Wq_snorkel*IF(H7="",0,1)+Wq_beach*IF(I7="",0,1))+MIN(WildCap,IF(J7="",0,J7)*WildBonus))</f>
        <v/>
      </c>
      <c r="M7" s="2">
        <f>IF(L7="","",ROUND(L7/(1+IF(K7="",0,K7)/120),1))</f>
        <v/>
      </c>
    </row>
    <row r="8">
      <c r="A8" s="2">
        <f>IF(M8="","",RANK(M8,$M$2:$M$69))</f>
        <v/>
      </c>
      <c r="B8" t="inlineStr">
        <is>
          <t>South Plaza Island</t>
        </is>
      </c>
      <c r="C8" t="inlineStr">
        <is>
          <t>South Plaza</t>
        </is>
      </c>
      <c r="D8" s="3" t="n">
        <v>78</v>
      </c>
      <c r="E8" s="3" t="n">
        <v>76</v>
      </c>
      <c r="F8" s="3" t="n">
        <v>75</v>
      </c>
      <c r="G8" s="3" t="n">
        <v>83</v>
      </c>
      <c r="H8" s="3" t="n"/>
      <c r="I8" s="3" t="n"/>
      <c r="J8" s="3" t="n">
        <v>4</v>
      </c>
      <c r="K8" s="3" t="n">
        <v>11.5</v>
      </c>
      <c r="L8" s="2">
        <f>IF((Wq_site*IF(D8="",0,1)+Wq_bio*IF(E8="",0,1)+Wq_iconic*IF(F8="",0,1)+Wq_scenic*IF(G8="",0,1)+Wq_snorkel*IF(H8="",0,1)+Wq_beach*IF(I8="",0,1))=0,"",(Wq_site*IF(D8="",0,D8)+Wq_bio*IF(E8="",0,E8)+Wq_iconic*IF(F8="",0,F8)+Wq_scenic*IF(G8="",0,G8)+Wq_snorkel*IF(H8="",0,H8)+Wq_beach*IF(I8="",0,I8))/(Wq_site*IF(D8="",0,1)+Wq_bio*IF(E8="",0,1)+Wq_iconic*IF(F8="",0,1)+Wq_scenic*IF(G8="",0,1)+Wq_snorkel*IF(H8="",0,1)+Wq_beach*IF(I8="",0,1))+MIN(WildCap,IF(J8="",0,J8)*WildBonus))</f>
        <v/>
      </c>
      <c r="M8" s="2">
        <f>IF(L8="","",ROUND(L8/(1+IF(K8="",0,K8)/120),1))</f>
        <v/>
      </c>
    </row>
    <row r="9">
      <c r="A9" s="2">
        <f>IF(M9="","",RANK(M9,$M$2:$M$69))</f>
        <v/>
      </c>
      <c r="B9" t="inlineStr">
        <is>
          <t>Genovesa Island, Darwin Bay</t>
        </is>
      </c>
      <c r="C9" t="inlineStr">
        <is>
          <t>Genovesa</t>
        </is>
      </c>
      <c r="D9" s="3" t="n">
        <v>76</v>
      </c>
      <c r="E9" s="3" t="n">
        <v>88</v>
      </c>
      <c r="F9" s="3" t="n">
        <v>88</v>
      </c>
      <c r="G9" s="3" t="n">
        <v>81</v>
      </c>
      <c r="H9" s="3" t="n">
        <v>65</v>
      </c>
      <c r="I9" s="3" t="n">
        <v>57</v>
      </c>
      <c r="J9" s="3" t="n">
        <v>4</v>
      </c>
      <c r="K9" s="3" t="n">
        <v>49.1</v>
      </c>
      <c r="L9" s="2">
        <f>IF((Wq_site*IF(D9="",0,1)+Wq_bio*IF(E9="",0,1)+Wq_iconic*IF(F9="",0,1)+Wq_scenic*IF(G9="",0,1)+Wq_snorkel*IF(H9="",0,1)+Wq_beach*IF(I9="",0,1))=0,"",(Wq_site*IF(D9="",0,D9)+Wq_bio*IF(E9="",0,E9)+Wq_iconic*IF(F9="",0,F9)+Wq_scenic*IF(G9="",0,G9)+Wq_snorkel*IF(H9="",0,H9)+Wq_beach*IF(I9="",0,I9))/(Wq_site*IF(D9="",0,1)+Wq_bio*IF(E9="",0,1)+Wq_iconic*IF(F9="",0,1)+Wq_scenic*IF(G9="",0,1)+Wq_snorkel*IF(H9="",0,1)+Wq_beach*IF(I9="",0,1))+MIN(WildCap,IF(J9="",0,J9)*WildBonus))</f>
        <v/>
      </c>
      <c r="M9" s="2">
        <f>IF(L9="","",ROUND(L9/(1+IF(K9="",0,K9)/120),1))</f>
        <v/>
      </c>
    </row>
    <row r="10">
      <c r="A10" s="2">
        <f>IF(M10="","",RANK(M10,$M$2:$M$69))</f>
        <v/>
      </c>
      <c r="B10" t="inlineStr">
        <is>
          <t>Marchena Island, Punta Mejia</t>
        </is>
      </c>
      <c r="C10" t="inlineStr">
        <is>
          <t>Marchena</t>
        </is>
      </c>
      <c r="D10" s="3" t="n">
        <v>78</v>
      </c>
      <c r="E10" s="3" t="n">
        <v>85</v>
      </c>
      <c r="F10" s="3" t="n">
        <v>60</v>
      </c>
      <c r="G10" s="3" t="n">
        <v>75</v>
      </c>
      <c r="H10" s="3" t="n">
        <v>94</v>
      </c>
      <c r="I10" s="3" t="n"/>
      <c r="J10" s="3" t="n">
        <v>3</v>
      </c>
      <c r="K10" s="3" t="n">
        <v>47.4</v>
      </c>
      <c r="L10" s="2">
        <f>IF((Wq_site*IF(D10="",0,1)+Wq_bio*IF(E10="",0,1)+Wq_iconic*IF(F10="",0,1)+Wq_scenic*IF(G10="",0,1)+Wq_snorkel*IF(H10="",0,1)+Wq_beach*IF(I10="",0,1))=0,"",(Wq_site*IF(D10="",0,D10)+Wq_bio*IF(E10="",0,E10)+Wq_iconic*IF(F10="",0,F10)+Wq_scenic*IF(G10="",0,G10)+Wq_snorkel*IF(H10="",0,H10)+Wq_beach*IF(I10="",0,I10))/(Wq_site*IF(D10="",0,1)+Wq_bio*IF(E10="",0,1)+Wq_iconic*IF(F10="",0,1)+Wq_scenic*IF(G10="",0,1)+Wq_snorkel*IF(H10="",0,1)+Wq_beach*IF(I10="",0,1))+MIN(WildCap,IF(J10="",0,J10)*WildBonus))</f>
        <v/>
      </c>
      <c r="M10" s="2">
        <f>IF(L10="","",ROUND(L10/(1+IF(K10="",0,K10)/120),1))</f>
        <v/>
      </c>
    </row>
    <row r="11">
      <c r="A11" s="2">
        <f>IF(M11="","",RANK(M11,$M$2:$M$69))</f>
        <v/>
      </c>
      <c r="B11" t="inlineStr">
        <is>
          <t>Española Island, Gardner Bay</t>
        </is>
      </c>
      <c r="C11" t="inlineStr">
        <is>
          <t>Española</t>
        </is>
      </c>
      <c r="D11" s="3" t="n">
        <v>79</v>
      </c>
      <c r="E11" s="3" t="n">
        <v>62</v>
      </c>
      <c r="F11" s="3" t="n">
        <v>71</v>
      </c>
      <c r="G11" s="3" t="n">
        <v>88</v>
      </c>
      <c r="H11" s="3" t="n">
        <v>76</v>
      </c>
      <c r="I11" s="3" t="n">
        <v>98</v>
      </c>
      <c r="J11" s="3" t="n">
        <v>2</v>
      </c>
      <c r="K11" s="3" t="n">
        <v>67.5</v>
      </c>
      <c r="L11" s="2">
        <f>IF((Wq_site*IF(D11="",0,1)+Wq_bio*IF(E11="",0,1)+Wq_iconic*IF(F11="",0,1)+Wq_scenic*IF(G11="",0,1)+Wq_snorkel*IF(H11="",0,1)+Wq_beach*IF(I11="",0,1))=0,"",(Wq_site*IF(D11="",0,D11)+Wq_bio*IF(E11="",0,E11)+Wq_iconic*IF(F11="",0,F11)+Wq_scenic*IF(G11="",0,G11)+Wq_snorkel*IF(H11="",0,H11)+Wq_beach*IF(I11="",0,I11))/(Wq_site*IF(D11="",0,1)+Wq_bio*IF(E11="",0,1)+Wq_iconic*IF(F11="",0,1)+Wq_scenic*IF(G11="",0,1)+Wq_snorkel*IF(H11="",0,1)+Wq_beach*IF(I11="",0,1))+MIN(WildCap,IF(J11="",0,J11)*WildBonus))</f>
        <v/>
      </c>
      <c r="M11" s="2">
        <f>IF(L11="","",ROUND(L11/(1+IF(K11="",0,K11)/120),1))</f>
        <v/>
      </c>
    </row>
    <row r="12">
      <c r="A12" s="2">
        <f>IF(M12="","",RANK(M12,$M$2:$M$69))</f>
        <v/>
      </c>
      <c r="B12" t="inlineStr">
        <is>
          <t>Santa Fe Island</t>
        </is>
      </c>
      <c r="C12" t="inlineStr">
        <is>
          <t>Santa Fe</t>
        </is>
      </c>
      <c r="D12" s="3" t="n">
        <v>78</v>
      </c>
      <c r="E12" s="3" t="n">
        <v>69</v>
      </c>
      <c r="F12" s="3" t="n">
        <v>81</v>
      </c>
      <c r="G12" s="3" t="n">
        <v>83</v>
      </c>
      <c r="H12" s="3" t="n">
        <v>80</v>
      </c>
      <c r="I12" s="3" t="n">
        <v>77</v>
      </c>
      <c r="J12" s="3" t="n">
        <v>2</v>
      </c>
      <c r="K12" s="3" t="n">
        <v>26.9</v>
      </c>
      <c r="L12" s="2">
        <f>IF((Wq_site*IF(D12="",0,1)+Wq_bio*IF(E12="",0,1)+Wq_iconic*IF(F12="",0,1)+Wq_scenic*IF(G12="",0,1)+Wq_snorkel*IF(H12="",0,1)+Wq_beach*IF(I12="",0,1))=0,"",(Wq_site*IF(D12="",0,D12)+Wq_bio*IF(E12="",0,E12)+Wq_iconic*IF(F12="",0,F12)+Wq_scenic*IF(G12="",0,G12)+Wq_snorkel*IF(H12="",0,H12)+Wq_beach*IF(I12="",0,I12))/(Wq_site*IF(D12="",0,1)+Wq_bio*IF(E12="",0,1)+Wq_iconic*IF(F12="",0,1)+Wq_scenic*IF(G12="",0,1)+Wq_snorkel*IF(H12="",0,1)+Wq_beach*IF(I12="",0,1))+MIN(WildCap,IF(J12="",0,J12)*WildBonus))</f>
        <v/>
      </c>
      <c r="M12" s="2">
        <f>IF(L12="","",ROUND(L12/(1+IF(K12="",0,K12)/120),1))</f>
        <v/>
      </c>
    </row>
    <row r="13">
      <c r="A13" s="2">
        <f>IF(M13="","",RANK(M13,$M$2:$M$69))</f>
        <v/>
      </c>
      <c r="B13" t="inlineStr">
        <is>
          <t>Fernandina Island, Punta Mangle</t>
        </is>
      </c>
      <c r="C13" t="inlineStr">
        <is>
          <t>Fernandina</t>
        </is>
      </c>
      <c r="D13" s="3" t="n">
        <v>75</v>
      </c>
      <c r="E13" s="3" t="n">
        <v>70</v>
      </c>
      <c r="F13" s="3" t="n">
        <v>80</v>
      </c>
      <c r="G13" s="3" t="n">
        <v>65</v>
      </c>
      <c r="H13" s="3" t="n">
        <v>85</v>
      </c>
      <c r="I13" s="3" t="n"/>
      <c r="J13" s="3" t="n">
        <v>4</v>
      </c>
      <c r="K13" s="3" t="n">
        <v>75</v>
      </c>
      <c r="L13" s="2">
        <f>IF((Wq_site*IF(D13="",0,1)+Wq_bio*IF(E13="",0,1)+Wq_iconic*IF(F13="",0,1)+Wq_scenic*IF(G13="",0,1)+Wq_snorkel*IF(H13="",0,1)+Wq_beach*IF(I13="",0,1))=0,"",(Wq_site*IF(D13="",0,D13)+Wq_bio*IF(E13="",0,E13)+Wq_iconic*IF(F13="",0,F13)+Wq_scenic*IF(G13="",0,G13)+Wq_snorkel*IF(H13="",0,H13)+Wq_beach*IF(I13="",0,I13))/(Wq_site*IF(D13="",0,1)+Wq_bio*IF(E13="",0,1)+Wq_iconic*IF(F13="",0,1)+Wq_scenic*IF(G13="",0,1)+Wq_snorkel*IF(H13="",0,1)+Wq_beach*IF(I13="",0,1))+MIN(WildCap,IF(J13="",0,J13)*WildBonus))</f>
        <v/>
      </c>
      <c r="M13" s="2">
        <f>IF(L13="","",ROUND(L13/(1+IF(K13="",0,K13)/120),1))</f>
        <v/>
      </c>
    </row>
    <row r="14">
      <c r="A14" s="2">
        <f>IF(M14="","",RANK(M14,$M$2:$M$69))</f>
        <v/>
      </c>
      <c r="B14" t="inlineStr">
        <is>
          <t>Floreana Island, Champion islet</t>
        </is>
      </c>
      <c r="C14" t="inlineStr">
        <is>
          <t>Floreana</t>
        </is>
      </c>
      <c r="D14" s="3" t="n">
        <v>80</v>
      </c>
      <c r="E14" s="3" t="n">
        <v>78</v>
      </c>
      <c r="F14" s="3" t="n">
        <v>78</v>
      </c>
      <c r="G14" s="3" t="n">
        <v>69</v>
      </c>
      <c r="H14" s="3" t="n">
        <v>96</v>
      </c>
      <c r="I14" s="3" t="n"/>
      <c r="J14" s="3" t="n">
        <v>0</v>
      </c>
      <c r="K14" s="3" t="n">
        <v>52.4</v>
      </c>
      <c r="L14" s="2">
        <f>IF((Wq_site*IF(D14="",0,1)+Wq_bio*IF(E14="",0,1)+Wq_iconic*IF(F14="",0,1)+Wq_scenic*IF(G14="",0,1)+Wq_snorkel*IF(H14="",0,1)+Wq_beach*IF(I14="",0,1))=0,"",(Wq_site*IF(D14="",0,D14)+Wq_bio*IF(E14="",0,E14)+Wq_iconic*IF(F14="",0,F14)+Wq_scenic*IF(G14="",0,G14)+Wq_snorkel*IF(H14="",0,H14)+Wq_beach*IF(I14="",0,I14))/(Wq_site*IF(D14="",0,1)+Wq_bio*IF(E14="",0,1)+Wq_iconic*IF(F14="",0,1)+Wq_scenic*IF(G14="",0,1)+Wq_snorkel*IF(H14="",0,1)+Wq_beach*IF(I14="",0,1))+MIN(WildCap,IF(J14="",0,J14)*WildBonus))</f>
        <v/>
      </c>
      <c r="M14" s="2">
        <f>IF(L14="","",ROUND(L14/(1+IF(K14="",0,K14)/120),1))</f>
        <v/>
      </c>
    </row>
    <row r="15">
      <c r="A15" s="2">
        <f>IF(M15="","",RANK(M15,$M$2:$M$69))</f>
        <v/>
      </c>
      <c r="B15" t="inlineStr">
        <is>
          <t>Isabela Island, Elizabeth Bay</t>
        </is>
      </c>
      <c r="C15" t="inlineStr">
        <is>
          <t>Isabela</t>
        </is>
      </c>
      <c r="D15" s="3" t="n">
        <v>71</v>
      </c>
      <c r="E15" s="3" t="n">
        <v>70</v>
      </c>
      <c r="F15" s="3" t="n">
        <v>66</v>
      </c>
      <c r="G15" s="3" t="n">
        <v>76</v>
      </c>
      <c r="H15" s="3" t="n"/>
      <c r="I15" s="3" t="n"/>
      <c r="J15" s="3" t="n">
        <v>5</v>
      </c>
      <c r="K15" s="3" t="n">
        <v>50.6</v>
      </c>
      <c r="L15" s="2">
        <f>IF((Wq_site*IF(D15="",0,1)+Wq_bio*IF(E15="",0,1)+Wq_iconic*IF(F15="",0,1)+Wq_scenic*IF(G15="",0,1)+Wq_snorkel*IF(H15="",0,1)+Wq_beach*IF(I15="",0,1))=0,"",(Wq_site*IF(D15="",0,D15)+Wq_bio*IF(E15="",0,E15)+Wq_iconic*IF(F15="",0,F15)+Wq_scenic*IF(G15="",0,G15)+Wq_snorkel*IF(H15="",0,H15)+Wq_beach*IF(I15="",0,I15))/(Wq_site*IF(D15="",0,1)+Wq_bio*IF(E15="",0,1)+Wq_iconic*IF(F15="",0,1)+Wq_scenic*IF(G15="",0,1)+Wq_snorkel*IF(H15="",0,1)+Wq_beach*IF(I15="",0,1))+MIN(WildCap,IF(J15="",0,J15)*WildBonus))</f>
        <v/>
      </c>
      <c r="M15" s="2">
        <f>IF(L15="","",ROUND(L15/(1+IF(K15="",0,K15)/120),1))</f>
        <v/>
      </c>
    </row>
    <row r="16">
      <c r="A16" s="2">
        <f>IF(M16="","",RANK(M16,$M$2:$M$69))</f>
        <v/>
      </c>
      <c r="B16" t="inlineStr">
        <is>
          <t>Darwin Island</t>
        </is>
      </c>
      <c r="C16" t="inlineStr">
        <is>
          <t>Darwin</t>
        </is>
      </c>
      <c r="D16" s="3" t="n">
        <v>77</v>
      </c>
      <c r="E16" s="3" t="n">
        <v>90</v>
      </c>
      <c r="F16" s="3" t="n">
        <v>90</v>
      </c>
      <c r="G16" s="3" t="n">
        <v>50</v>
      </c>
      <c r="H16" s="3" t="n"/>
      <c r="I16" s="3" t="n"/>
      <c r="J16" s="3" t="n">
        <v>2</v>
      </c>
      <c r="K16" s="3" t="n">
        <v>162.4</v>
      </c>
      <c r="L16" s="2">
        <f>IF((Wq_site*IF(D16="",0,1)+Wq_bio*IF(E16="",0,1)+Wq_iconic*IF(F16="",0,1)+Wq_scenic*IF(G16="",0,1)+Wq_snorkel*IF(H16="",0,1)+Wq_beach*IF(I16="",0,1))=0,"",(Wq_site*IF(D16="",0,D16)+Wq_bio*IF(E16="",0,E16)+Wq_iconic*IF(F16="",0,F16)+Wq_scenic*IF(G16="",0,G16)+Wq_snorkel*IF(H16="",0,H16)+Wq_beach*IF(I16="",0,I16))/(Wq_site*IF(D16="",0,1)+Wq_bio*IF(E16="",0,1)+Wq_iconic*IF(F16="",0,1)+Wq_scenic*IF(G16="",0,1)+Wq_snorkel*IF(H16="",0,1)+Wq_beach*IF(I16="",0,1))+MIN(WildCap,IF(J16="",0,J16)*WildBonus))</f>
        <v/>
      </c>
      <c r="M16" s="2">
        <f>IF(L16="","",ROUND(L16/(1+IF(K16="",0,K16)/120),1))</f>
        <v/>
      </c>
    </row>
    <row r="17">
      <c r="A17" s="2">
        <f>IF(M17="","",RANK(M17,$M$2:$M$69))</f>
        <v/>
      </c>
      <c r="B17" t="inlineStr">
        <is>
          <t>Wolf Island</t>
        </is>
      </c>
      <c r="C17" t="inlineStr">
        <is>
          <t>Wolf</t>
        </is>
      </c>
      <c r="D17" s="3" t="n">
        <v>77</v>
      </c>
      <c r="E17" s="3" t="n">
        <v>90</v>
      </c>
      <c r="F17" s="3" t="n">
        <v>90</v>
      </c>
      <c r="G17" s="3" t="n">
        <v>50</v>
      </c>
      <c r="H17" s="3" t="n"/>
      <c r="I17" s="3" t="n"/>
      <c r="J17" s="3" t="n">
        <v>2</v>
      </c>
      <c r="K17" s="3" t="n">
        <v>142.4</v>
      </c>
      <c r="L17" s="2">
        <f>IF((Wq_site*IF(D17="",0,1)+Wq_bio*IF(E17="",0,1)+Wq_iconic*IF(F17="",0,1)+Wq_scenic*IF(G17="",0,1)+Wq_snorkel*IF(H17="",0,1)+Wq_beach*IF(I17="",0,1))=0,"",(Wq_site*IF(D17="",0,D17)+Wq_bio*IF(E17="",0,E17)+Wq_iconic*IF(F17="",0,F17)+Wq_scenic*IF(G17="",0,G17)+Wq_snorkel*IF(H17="",0,H17)+Wq_beach*IF(I17="",0,I17))/(Wq_site*IF(D17="",0,1)+Wq_bio*IF(E17="",0,1)+Wq_iconic*IF(F17="",0,1)+Wq_scenic*IF(G17="",0,1)+Wq_snorkel*IF(H17="",0,1)+Wq_beach*IF(I17="",0,1))+MIN(WildCap,IF(J17="",0,J17)*WildBonus))</f>
        <v/>
      </c>
      <c r="M17" s="2">
        <f>IF(L17="","",ROUND(L17/(1+IF(K17="",0,K17)/120),1))</f>
        <v/>
      </c>
    </row>
    <row r="18">
      <c r="A18" s="2">
        <f>IF(M18="","",RANK(M18,$M$2:$M$69))</f>
        <v/>
      </c>
      <c r="B18" t="inlineStr">
        <is>
          <t>Isabela Island, Tagus Cove</t>
        </is>
      </c>
      <c r="C18" t="inlineStr">
        <is>
          <t>Isabela</t>
        </is>
      </c>
      <c r="D18" s="3" t="n">
        <v>70</v>
      </c>
      <c r="E18" s="3" t="n">
        <v>57</v>
      </c>
      <c r="F18" s="3" t="n">
        <v>54</v>
      </c>
      <c r="G18" s="3" t="n">
        <v>88</v>
      </c>
      <c r="H18" s="3" t="n">
        <v>81</v>
      </c>
      <c r="I18" s="3" t="n"/>
      <c r="J18" s="3" t="n">
        <v>4</v>
      </c>
      <c r="K18" s="3" t="n">
        <v>50.6</v>
      </c>
      <c r="L18" s="2">
        <f>IF((Wq_site*IF(D18="",0,1)+Wq_bio*IF(E18="",0,1)+Wq_iconic*IF(F18="",0,1)+Wq_scenic*IF(G18="",0,1)+Wq_snorkel*IF(H18="",0,1)+Wq_beach*IF(I18="",0,1))=0,"",(Wq_site*IF(D18="",0,D18)+Wq_bio*IF(E18="",0,E18)+Wq_iconic*IF(F18="",0,F18)+Wq_scenic*IF(G18="",0,G18)+Wq_snorkel*IF(H18="",0,H18)+Wq_beach*IF(I18="",0,I18))/(Wq_site*IF(D18="",0,1)+Wq_bio*IF(E18="",0,1)+Wq_iconic*IF(F18="",0,1)+Wq_scenic*IF(G18="",0,1)+Wq_snorkel*IF(H18="",0,1)+Wq_beach*IF(I18="",0,1))+MIN(WildCap,IF(J18="",0,J18)*WildBonus))</f>
        <v/>
      </c>
      <c r="M18" s="2">
        <f>IF(L18="","",ROUND(L18/(1+IF(K18="",0,K18)/120),1))</f>
        <v/>
      </c>
    </row>
    <row r="19">
      <c r="A19" s="2">
        <f>IF(M19="","",RANK(M19,$M$2:$M$69))</f>
        <v/>
      </c>
      <c r="B19" t="inlineStr">
        <is>
          <t>Santiago Island, Puerto Egas</t>
        </is>
      </c>
      <c r="C19" t="inlineStr">
        <is>
          <t>Santiago</t>
        </is>
      </c>
      <c r="D19" s="3" t="n">
        <v>71</v>
      </c>
      <c r="E19" s="3" t="n">
        <v>70</v>
      </c>
      <c r="F19" s="3" t="n">
        <v>70</v>
      </c>
      <c r="G19" s="3" t="n">
        <v>70</v>
      </c>
      <c r="H19" s="3" t="n">
        <v>73</v>
      </c>
      <c r="I19" s="3" t="n">
        <v>72</v>
      </c>
      <c r="J19" s="3" t="n">
        <v>3</v>
      </c>
      <c r="K19" s="3" t="n">
        <v>28.8</v>
      </c>
      <c r="L19" s="2">
        <f>IF((Wq_site*IF(D19="",0,1)+Wq_bio*IF(E19="",0,1)+Wq_iconic*IF(F19="",0,1)+Wq_scenic*IF(G19="",0,1)+Wq_snorkel*IF(H19="",0,1)+Wq_beach*IF(I19="",0,1))=0,"",(Wq_site*IF(D19="",0,D19)+Wq_bio*IF(E19="",0,E19)+Wq_iconic*IF(F19="",0,F19)+Wq_scenic*IF(G19="",0,G19)+Wq_snorkel*IF(H19="",0,H19)+Wq_beach*IF(I19="",0,I19))/(Wq_site*IF(D19="",0,1)+Wq_bio*IF(E19="",0,1)+Wq_iconic*IF(F19="",0,1)+Wq_scenic*IF(G19="",0,1)+Wq_snorkel*IF(H19="",0,1)+Wq_beach*IF(I19="",0,1))+MIN(WildCap,IF(J19="",0,J19)*WildBonus))</f>
        <v/>
      </c>
      <c r="M19" s="2">
        <f>IF(L19="","",ROUND(L19/(1+IF(K19="",0,K19)/120),1))</f>
        <v/>
      </c>
    </row>
    <row r="20">
      <c r="A20" s="2">
        <f>IF(M20="","",RANK(M20,$M$2:$M$69))</f>
        <v/>
      </c>
      <c r="B20" t="inlineStr">
        <is>
          <t>San Cristóbal Island, Leon Dormido</t>
        </is>
      </c>
      <c r="C20" t="inlineStr">
        <is>
          <t>San Cristóbal</t>
        </is>
      </c>
      <c r="D20" s="3" t="n">
        <v>69</v>
      </c>
      <c r="E20" s="3" t="n">
        <v>59</v>
      </c>
      <c r="F20" s="3" t="n">
        <v>52</v>
      </c>
      <c r="G20" s="3" t="n">
        <v>81</v>
      </c>
      <c r="H20" s="3" t="n">
        <v>83</v>
      </c>
      <c r="I20" s="3" t="n"/>
      <c r="J20" s="3" t="n">
        <v>4</v>
      </c>
      <c r="K20" s="3" t="n">
        <v>56.4</v>
      </c>
      <c r="L20" s="2">
        <f>IF((Wq_site*IF(D20="",0,1)+Wq_bio*IF(E20="",0,1)+Wq_iconic*IF(F20="",0,1)+Wq_scenic*IF(G20="",0,1)+Wq_snorkel*IF(H20="",0,1)+Wq_beach*IF(I20="",0,1))=0,"",(Wq_site*IF(D20="",0,D20)+Wq_bio*IF(E20="",0,E20)+Wq_iconic*IF(F20="",0,F20)+Wq_scenic*IF(G20="",0,G20)+Wq_snorkel*IF(H20="",0,H20)+Wq_beach*IF(I20="",0,I20))/(Wq_site*IF(D20="",0,1)+Wq_bio*IF(E20="",0,1)+Wq_iconic*IF(F20="",0,1)+Wq_scenic*IF(G20="",0,1)+Wq_snorkel*IF(H20="",0,1)+Wq_beach*IF(I20="",0,1))+MIN(WildCap,IF(J20="",0,J20)*WildBonus))</f>
        <v/>
      </c>
      <c r="M20" s="2">
        <f>IF(L20="","",ROUND(L20/(1+IF(K20="",0,K20)/120),1))</f>
        <v/>
      </c>
    </row>
    <row r="21">
      <c r="A21" s="2">
        <f>IF(M21="","",RANK(M21,$M$2:$M$69))</f>
        <v/>
      </c>
      <c r="B21" t="inlineStr">
        <is>
          <t>Isabela Island, Cabo Marshall (scuba)</t>
        </is>
      </c>
      <c r="C21" t="inlineStr">
        <is>
          <t>Isabela</t>
        </is>
      </c>
      <c r="D21" s="3" t="n">
        <v>70</v>
      </c>
      <c r="E21" s="3" t="n"/>
      <c r="F21" s="3" t="n"/>
      <c r="G21" s="3" t="n"/>
      <c r="H21" s="3" t="n">
        <v>70</v>
      </c>
      <c r="I21" s="3" t="n"/>
      <c r="J21" s="3" t="n">
        <v>3</v>
      </c>
      <c r="K21" s="3" t="n">
        <v>50.6</v>
      </c>
      <c r="L21" s="2">
        <f>IF((Wq_site*IF(D21="",0,1)+Wq_bio*IF(E21="",0,1)+Wq_iconic*IF(F21="",0,1)+Wq_scenic*IF(G21="",0,1)+Wq_snorkel*IF(H21="",0,1)+Wq_beach*IF(I21="",0,1))=0,"",(Wq_site*IF(D21="",0,D21)+Wq_bio*IF(E21="",0,E21)+Wq_iconic*IF(F21="",0,F21)+Wq_scenic*IF(G21="",0,G21)+Wq_snorkel*IF(H21="",0,H21)+Wq_beach*IF(I21="",0,I21))/(Wq_site*IF(D21="",0,1)+Wq_bio*IF(E21="",0,1)+Wq_iconic*IF(F21="",0,1)+Wq_scenic*IF(G21="",0,1)+Wq_snorkel*IF(H21="",0,1)+Wq_beach*IF(I21="",0,1))+MIN(WildCap,IF(J21="",0,J21)*WildBonus))</f>
        <v/>
      </c>
      <c r="M21" s="2">
        <f>IF(L21="","",ROUND(L21/(1+IF(K21="",0,K21)/120),1))</f>
        <v/>
      </c>
    </row>
    <row r="22">
      <c r="A22" s="2">
        <f>IF(M22="","",RANK(M22,$M$2:$M$69))</f>
        <v/>
      </c>
      <c r="B22" t="inlineStr">
        <is>
          <t>Bartolomé Island</t>
        </is>
      </c>
      <c r="C22" t="inlineStr">
        <is>
          <t>Bartolomé</t>
        </is>
      </c>
      <c r="D22" s="3" t="n">
        <v>68</v>
      </c>
      <c r="E22" s="3" t="n">
        <v>38</v>
      </c>
      <c r="F22" s="3" t="n">
        <v>39</v>
      </c>
      <c r="G22" s="3" t="n">
        <v>98</v>
      </c>
      <c r="H22" s="3" t="n">
        <v>84</v>
      </c>
      <c r="I22" s="3" t="n">
        <v>83</v>
      </c>
      <c r="J22" s="3" t="n">
        <v>4</v>
      </c>
      <c r="K22" s="3" t="n">
        <v>18.5</v>
      </c>
      <c r="L22" s="2">
        <f>IF((Wq_site*IF(D22="",0,1)+Wq_bio*IF(E22="",0,1)+Wq_iconic*IF(F22="",0,1)+Wq_scenic*IF(G22="",0,1)+Wq_snorkel*IF(H22="",0,1)+Wq_beach*IF(I22="",0,1))=0,"",(Wq_site*IF(D22="",0,D22)+Wq_bio*IF(E22="",0,E22)+Wq_iconic*IF(F22="",0,F22)+Wq_scenic*IF(G22="",0,G22)+Wq_snorkel*IF(H22="",0,H22)+Wq_beach*IF(I22="",0,I22))/(Wq_site*IF(D22="",0,1)+Wq_bio*IF(E22="",0,1)+Wq_iconic*IF(F22="",0,1)+Wq_scenic*IF(G22="",0,1)+Wq_snorkel*IF(H22="",0,1)+Wq_beach*IF(I22="",0,1))+MIN(WildCap,IF(J22="",0,J22)*WildBonus))</f>
        <v/>
      </c>
      <c r="M22" s="2">
        <f>IF(L22="","",ROUND(L22/(1+IF(K22="",0,K22)/120),1))</f>
        <v/>
      </c>
    </row>
    <row r="23">
      <c r="A23" s="2">
        <f>IF(M23="","",RANK(M23,$M$2:$M$69))</f>
        <v/>
      </c>
      <c r="B23" t="inlineStr">
        <is>
          <t>Isabela Island, Albemarle Point</t>
        </is>
      </c>
      <c r="C23" t="inlineStr">
        <is>
          <t>Isabela</t>
        </is>
      </c>
      <c r="D23" s="3" t="n">
        <v>70</v>
      </c>
      <c r="E23" s="3" t="n">
        <v>73</v>
      </c>
      <c r="F23" s="3" t="n">
        <v>73</v>
      </c>
      <c r="G23" s="3" t="n">
        <v>63</v>
      </c>
      <c r="H23" s="3" t="n"/>
      <c r="I23" s="3" t="n"/>
      <c r="J23" s="3" t="n">
        <v>2</v>
      </c>
      <c r="K23" s="3" t="n">
        <v>50.6</v>
      </c>
      <c r="L23" s="2">
        <f>IF((Wq_site*IF(D23="",0,1)+Wq_bio*IF(E23="",0,1)+Wq_iconic*IF(F23="",0,1)+Wq_scenic*IF(G23="",0,1)+Wq_snorkel*IF(H23="",0,1)+Wq_beach*IF(I23="",0,1))=0,"",(Wq_site*IF(D23="",0,D23)+Wq_bio*IF(E23="",0,E23)+Wq_iconic*IF(F23="",0,F23)+Wq_scenic*IF(G23="",0,G23)+Wq_snorkel*IF(H23="",0,H23)+Wq_beach*IF(I23="",0,I23))/(Wq_site*IF(D23="",0,1)+Wq_bio*IF(E23="",0,1)+Wq_iconic*IF(F23="",0,1)+Wq_scenic*IF(G23="",0,1)+Wq_snorkel*IF(H23="",0,1)+Wq_beach*IF(I23="",0,1))+MIN(WildCap,IF(J23="",0,J23)*WildBonus))</f>
        <v/>
      </c>
      <c r="M23" s="2">
        <f>IF(L23="","",ROUND(L23/(1+IF(K23="",0,K23)/120),1))</f>
        <v/>
      </c>
    </row>
    <row r="24">
      <c r="A24" s="2">
        <f>IF(M24="","",RANK(M24,$M$2:$M$69))</f>
        <v/>
      </c>
      <c r="B24" t="inlineStr">
        <is>
          <t>Sombero Chino Island</t>
        </is>
      </c>
      <c r="C24" t="inlineStr">
        <is>
          <t>Sombero Chino</t>
        </is>
      </c>
      <c r="D24" s="3" t="n">
        <v>67</v>
      </c>
      <c r="E24" s="3" t="n">
        <v>52</v>
      </c>
      <c r="F24" s="3" t="n">
        <v>57</v>
      </c>
      <c r="G24" s="3" t="n">
        <v>81</v>
      </c>
      <c r="H24" s="3" t="n">
        <v>85</v>
      </c>
      <c r="I24" s="3" t="n">
        <v>60</v>
      </c>
      <c r="J24" s="3" t="n">
        <v>3</v>
      </c>
      <c r="K24" s="3" t="n">
        <v>18.8</v>
      </c>
      <c r="L24" s="2">
        <f>IF((Wq_site*IF(D24="",0,1)+Wq_bio*IF(E24="",0,1)+Wq_iconic*IF(F24="",0,1)+Wq_scenic*IF(G24="",0,1)+Wq_snorkel*IF(H24="",0,1)+Wq_beach*IF(I24="",0,1))=0,"",(Wq_site*IF(D24="",0,D24)+Wq_bio*IF(E24="",0,E24)+Wq_iconic*IF(F24="",0,F24)+Wq_scenic*IF(G24="",0,G24)+Wq_snorkel*IF(H24="",0,H24)+Wq_beach*IF(I24="",0,I24))/(Wq_site*IF(D24="",0,1)+Wq_bio*IF(E24="",0,1)+Wq_iconic*IF(F24="",0,1)+Wq_scenic*IF(G24="",0,1)+Wq_snorkel*IF(H24="",0,1)+Wq_beach*IF(I24="",0,1))+MIN(WildCap,IF(J24="",0,J24)*WildBonus))</f>
        <v/>
      </c>
      <c r="M24" s="2">
        <f>IF(L24="","",ROUND(L24/(1+IF(K24="",0,K24)/120),1))</f>
        <v/>
      </c>
    </row>
    <row r="25">
      <c r="A25" s="2">
        <f>IF(M25="","",RANK(M25,$M$2:$M$69))</f>
        <v/>
      </c>
      <c r="B25" t="inlineStr">
        <is>
          <t>Isabela Island, Concha de Perla</t>
        </is>
      </c>
      <c r="C25" t="inlineStr">
        <is>
          <t>Isabela</t>
        </is>
      </c>
      <c r="D25" s="3" t="n">
        <v>66</v>
      </c>
      <c r="E25" s="3" t="n">
        <v>75</v>
      </c>
      <c r="F25" s="3" t="n">
        <v>50</v>
      </c>
      <c r="G25" s="3" t="n">
        <v>65</v>
      </c>
      <c r="H25" s="3" t="n">
        <v>75</v>
      </c>
      <c r="I25" s="3" t="n"/>
      <c r="J25" s="3" t="n">
        <v>4</v>
      </c>
      <c r="K25" s="3" t="n">
        <v>50.6</v>
      </c>
      <c r="L25" s="2">
        <f>IF((Wq_site*IF(D25="",0,1)+Wq_bio*IF(E25="",0,1)+Wq_iconic*IF(F25="",0,1)+Wq_scenic*IF(G25="",0,1)+Wq_snorkel*IF(H25="",0,1)+Wq_beach*IF(I25="",0,1))=0,"",(Wq_site*IF(D25="",0,D25)+Wq_bio*IF(E25="",0,E25)+Wq_iconic*IF(F25="",0,F25)+Wq_scenic*IF(G25="",0,G25)+Wq_snorkel*IF(H25="",0,H25)+Wq_beach*IF(I25="",0,I25))/(Wq_site*IF(D25="",0,1)+Wq_bio*IF(E25="",0,1)+Wq_iconic*IF(F25="",0,1)+Wq_scenic*IF(G25="",0,1)+Wq_snorkel*IF(H25="",0,1)+Wq_beach*IF(I25="",0,1))+MIN(WildCap,IF(J25="",0,J25)*WildBonus))</f>
        <v/>
      </c>
      <c r="M25" s="2">
        <f>IF(L25="","",ROUND(L25/(1+IF(K25="",0,K25)/120),1))</f>
        <v/>
      </c>
    </row>
    <row r="26">
      <c r="A26" s="2">
        <f>IF(M26="","",RANK(M26,$M$2:$M$69))</f>
        <v/>
      </c>
      <c r="B26" t="inlineStr">
        <is>
          <t>San Cristóbal Island, Punta Pitt</t>
        </is>
      </c>
      <c r="C26" t="inlineStr">
        <is>
          <t>San Cristóbal</t>
        </is>
      </c>
      <c r="D26" s="3" t="n">
        <v>65</v>
      </c>
      <c r="E26" s="3" t="n">
        <v>62</v>
      </c>
      <c r="F26" s="3" t="n">
        <v>52</v>
      </c>
      <c r="G26" s="3" t="n">
        <v>85</v>
      </c>
      <c r="H26" s="3" t="n">
        <v>61</v>
      </c>
      <c r="I26" s="3" t="n">
        <v>66</v>
      </c>
      <c r="J26" s="3" t="n">
        <v>3</v>
      </c>
      <c r="K26" s="3" t="n">
        <v>56.4</v>
      </c>
      <c r="L26" s="2">
        <f>IF((Wq_site*IF(D26="",0,1)+Wq_bio*IF(E26="",0,1)+Wq_iconic*IF(F26="",0,1)+Wq_scenic*IF(G26="",0,1)+Wq_snorkel*IF(H26="",0,1)+Wq_beach*IF(I26="",0,1))=0,"",(Wq_site*IF(D26="",0,D26)+Wq_bio*IF(E26="",0,E26)+Wq_iconic*IF(F26="",0,F26)+Wq_scenic*IF(G26="",0,G26)+Wq_snorkel*IF(H26="",0,H26)+Wq_beach*IF(I26="",0,I26))/(Wq_site*IF(D26="",0,1)+Wq_bio*IF(E26="",0,1)+Wq_iconic*IF(F26="",0,1)+Wq_scenic*IF(G26="",0,1)+Wq_snorkel*IF(H26="",0,1)+Wq_beach*IF(I26="",0,1))+MIN(WildCap,IF(J26="",0,J26)*WildBonus))</f>
        <v/>
      </c>
      <c r="M26" s="2">
        <f>IF(L26="","",ROUND(L26/(1+IF(K26="",0,K26)/120),1))</f>
        <v/>
      </c>
    </row>
    <row r="27">
      <c r="A27" s="2">
        <f>IF(M27="","",RANK(M27,$M$2:$M$69))</f>
        <v/>
      </c>
      <c r="B27" t="inlineStr">
        <is>
          <t>Isabela Island, Tintorera</t>
        </is>
      </c>
      <c r="C27" t="inlineStr">
        <is>
          <t>Isabela</t>
        </is>
      </c>
      <c r="D27" s="3" t="n">
        <v>64</v>
      </c>
      <c r="E27" s="3" t="n">
        <v>59</v>
      </c>
      <c r="F27" s="3" t="n">
        <v>60</v>
      </c>
      <c r="G27" s="3" t="n">
        <v>73</v>
      </c>
      <c r="H27" s="3" t="n">
        <v>65</v>
      </c>
      <c r="I27" s="3" t="n"/>
      <c r="J27" s="3" t="n">
        <v>4</v>
      </c>
      <c r="K27" s="3" t="n">
        <v>50.6</v>
      </c>
      <c r="L27" s="2">
        <f>IF((Wq_site*IF(D27="",0,1)+Wq_bio*IF(E27="",0,1)+Wq_iconic*IF(F27="",0,1)+Wq_scenic*IF(G27="",0,1)+Wq_snorkel*IF(H27="",0,1)+Wq_beach*IF(I27="",0,1))=0,"",(Wq_site*IF(D27="",0,D27)+Wq_bio*IF(E27="",0,E27)+Wq_iconic*IF(F27="",0,F27)+Wq_scenic*IF(G27="",0,G27)+Wq_snorkel*IF(H27="",0,H27)+Wq_beach*IF(I27="",0,I27))/(Wq_site*IF(D27="",0,1)+Wq_bio*IF(E27="",0,1)+Wq_iconic*IF(F27="",0,1)+Wq_scenic*IF(G27="",0,1)+Wq_snorkel*IF(H27="",0,1)+Wq_beach*IF(I27="",0,1))+MIN(WildCap,IF(J27="",0,J27)*WildBonus))</f>
        <v/>
      </c>
      <c r="M27" s="2">
        <f>IF(L27="","",ROUND(L27/(1+IF(K27="",0,K27)/120),1))</f>
        <v/>
      </c>
    </row>
    <row r="28">
      <c r="A28" s="2">
        <f>IF(M28="","",RANK(M28,$M$2:$M$69))</f>
        <v/>
      </c>
      <c r="B28" t="inlineStr">
        <is>
          <t>Santa Cruz Island, El Chato</t>
        </is>
      </c>
      <c r="C28" t="inlineStr">
        <is>
          <t>Santa Cruz</t>
        </is>
      </c>
      <c r="D28" s="3" t="n">
        <v>65</v>
      </c>
      <c r="E28" s="3" t="n">
        <v>65</v>
      </c>
      <c r="F28" s="3" t="n">
        <v>77</v>
      </c>
      <c r="G28" s="3" t="n">
        <v>54</v>
      </c>
      <c r="H28" s="3" t="n"/>
      <c r="I28" s="3" t="n"/>
      <c r="J28" s="3" t="n">
        <v>3</v>
      </c>
      <c r="K28" s="3" t="n">
        <v>12.4</v>
      </c>
      <c r="L28" s="2">
        <f>IF((Wq_site*IF(D28="",0,1)+Wq_bio*IF(E28="",0,1)+Wq_iconic*IF(F28="",0,1)+Wq_scenic*IF(G28="",0,1)+Wq_snorkel*IF(H28="",0,1)+Wq_beach*IF(I28="",0,1))=0,"",(Wq_site*IF(D28="",0,D28)+Wq_bio*IF(E28="",0,E28)+Wq_iconic*IF(F28="",0,F28)+Wq_scenic*IF(G28="",0,G28)+Wq_snorkel*IF(H28="",0,H28)+Wq_beach*IF(I28="",0,I28))/(Wq_site*IF(D28="",0,1)+Wq_bio*IF(E28="",0,1)+Wq_iconic*IF(F28="",0,1)+Wq_scenic*IF(G28="",0,1)+Wq_snorkel*IF(H28="",0,1)+Wq_beach*IF(I28="",0,1))+MIN(WildCap,IF(J28="",0,J28)*WildBonus))</f>
        <v/>
      </c>
      <c r="M28" s="2">
        <f>IF(L28="","",ROUND(L28/(1+IF(K28="",0,K28)/120),1))</f>
        <v/>
      </c>
    </row>
    <row r="29">
      <c r="A29" s="2">
        <f>IF(M29="","",RANK(M29,$M$2:$M$69))</f>
        <v/>
      </c>
      <c r="B29" t="inlineStr">
        <is>
          <t>Santa Cruz Island, Tortuga Bay</t>
        </is>
      </c>
      <c r="C29" t="inlineStr">
        <is>
          <t>Santa Cruz</t>
        </is>
      </c>
      <c r="D29" s="3" t="n">
        <v>67</v>
      </c>
      <c r="E29" s="3" t="n">
        <v>56</v>
      </c>
      <c r="F29" s="3" t="n">
        <v>57</v>
      </c>
      <c r="G29" s="3" t="n">
        <v>84</v>
      </c>
      <c r="H29" s="3" t="n">
        <v>39</v>
      </c>
      <c r="I29" s="3" t="n">
        <v>97</v>
      </c>
      <c r="J29" s="3" t="n">
        <v>1</v>
      </c>
      <c r="K29" s="3" t="n">
        <v>12.4</v>
      </c>
      <c r="L29" s="2">
        <f>IF((Wq_site*IF(D29="",0,1)+Wq_bio*IF(E29="",0,1)+Wq_iconic*IF(F29="",0,1)+Wq_scenic*IF(G29="",0,1)+Wq_snorkel*IF(H29="",0,1)+Wq_beach*IF(I29="",0,1))=0,"",(Wq_site*IF(D29="",0,D29)+Wq_bio*IF(E29="",0,E29)+Wq_iconic*IF(F29="",0,F29)+Wq_scenic*IF(G29="",0,G29)+Wq_snorkel*IF(H29="",0,H29)+Wq_beach*IF(I29="",0,I29))/(Wq_site*IF(D29="",0,1)+Wq_bio*IF(E29="",0,1)+Wq_iconic*IF(F29="",0,1)+Wq_scenic*IF(G29="",0,1)+Wq_snorkel*IF(H29="",0,1)+Wq_beach*IF(I29="",0,1))+MIN(WildCap,IF(J29="",0,J29)*WildBonus))</f>
        <v/>
      </c>
      <c r="M29" s="2">
        <f>IF(L29="","",ROUND(L29/(1+IF(K29="",0,K29)/120),1))</f>
        <v/>
      </c>
    </row>
    <row r="30">
      <c r="A30" s="2">
        <f>IF(M30="","",RANK(M30,$M$2:$M$69))</f>
        <v/>
      </c>
      <c r="B30" t="inlineStr">
        <is>
          <t>Rábida Island</t>
        </is>
      </c>
      <c r="C30" t="inlineStr">
        <is>
          <t>Rábida</t>
        </is>
      </c>
      <c r="D30" s="3" t="n">
        <v>67</v>
      </c>
      <c r="E30" s="3" t="n">
        <v>44</v>
      </c>
      <c r="F30" s="3" t="n">
        <v>45</v>
      </c>
      <c r="G30" s="3" t="n">
        <v>78</v>
      </c>
      <c r="H30" s="3" t="n">
        <v>87</v>
      </c>
      <c r="I30" s="3" t="n">
        <v>79</v>
      </c>
      <c r="J30" s="3" t="n">
        <v>2</v>
      </c>
      <c r="K30" s="3" t="n">
        <v>26</v>
      </c>
      <c r="L30" s="2">
        <f>IF((Wq_site*IF(D30="",0,1)+Wq_bio*IF(E30="",0,1)+Wq_iconic*IF(F30="",0,1)+Wq_scenic*IF(G30="",0,1)+Wq_snorkel*IF(H30="",0,1)+Wq_beach*IF(I30="",0,1))=0,"",(Wq_site*IF(D30="",0,D30)+Wq_bio*IF(E30="",0,E30)+Wq_iconic*IF(F30="",0,F30)+Wq_scenic*IF(G30="",0,G30)+Wq_snorkel*IF(H30="",0,H30)+Wq_beach*IF(I30="",0,I30))/(Wq_site*IF(D30="",0,1)+Wq_bio*IF(E30="",0,1)+Wq_iconic*IF(F30="",0,1)+Wq_scenic*IF(G30="",0,1)+Wq_snorkel*IF(H30="",0,1)+Wq_beach*IF(I30="",0,1))+MIN(WildCap,IF(J30="",0,J30)*WildBonus))</f>
        <v/>
      </c>
      <c r="M30" s="2">
        <f>IF(L30="","",ROUND(L30/(1+IF(K30="",0,K30)/120),1))</f>
        <v/>
      </c>
    </row>
    <row r="31">
      <c r="A31" s="2">
        <f>IF(M31="","",RANK(M31,$M$2:$M$69))</f>
        <v/>
      </c>
      <c r="B31" t="inlineStr">
        <is>
          <t>San Cristóbal Island, Cerro Brujo</t>
        </is>
      </c>
      <c r="C31" t="inlineStr">
        <is>
          <t>San Cristóbal</t>
        </is>
      </c>
      <c r="D31" s="3" t="n">
        <v>63</v>
      </c>
      <c r="E31" s="3" t="n">
        <v>48</v>
      </c>
      <c r="F31" s="3" t="n">
        <v>48</v>
      </c>
      <c r="G31" s="3" t="n">
        <v>85</v>
      </c>
      <c r="H31" s="3" t="n">
        <v>37</v>
      </c>
      <c r="I31" s="3" t="n">
        <v>95</v>
      </c>
      <c r="J31" s="3" t="n">
        <v>3</v>
      </c>
      <c r="K31" s="3" t="n">
        <v>56.4</v>
      </c>
      <c r="L31" s="2">
        <f>IF((Wq_site*IF(D31="",0,1)+Wq_bio*IF(E31="",0,1)+Wq_iconic*IF(F31="",0,1)+Wq_scenic*IF(G31="",0,1)+Wq_snorkel*IF(H31="",0,1)+Wq_beach*IF(I31="",0,1))=0,"",(Wq_site*IF(D31="",0,D31)+Wq_bio*IF(E31="",0,E31)+Wq_iconic*IF(F31="",0,F31)+Wq_scenic*IF(G31="",0,G31)+Wq_snorkel*IF(H31="",0,H31)+Wq_beach*IF(I31="",0,I31))/(Wq_site*IF(D31="",0,1)+Wq_bio*IF(E31="",0,1)+Wq_iconic*IF(F31="",0,1)+Wq_scenic*IF(G31="",0,1)+Wq_snorkel*IF(H31="",0,1)+Wq_beach*IF(I31="",0,1))+MIN(WildCap,IF(J31="",0,J31)*WildBonus))</f>
        <v/>
      </c>
      <c r="M31" s="2">
        <f>IF(L31="","",ROUND(L31/(1+IF(K31="",0,K31)/120),1))</f>
        <v/>
      </c>
    </row>
    <row r="32">
      <c r="A32" s="2">
        <f>IF(M32="","",RANK(M32,$M$2:$M$69))</f>
        <v/>
      </c>
      <c r="B32" t="inlineStr">
        <is>
          <t>Santa Cruz Island, Black Turtle Cove</t>
        </is>
      </c>
      <c r="C32" t="inlineStr">
        <is>
          <t>Santa Cruz</t>
        </is>
      </c>
      <c r="D32" s="3" t="n">
        <v>63</v>
      </c>
      <c r="E32" s="3" t="n">
        <v>68</v>
      </c>
      <c r="F32" s="3" t="n">
        <v>45</v>
      </c>
      <c r="G32" s="3" t="n">
        <v>75</v>
      </c>
      <c r="H32" s="3" t="n"/>
      <c r="I32" s="3" t="n"/>
      <c r="J32" s="3" t="n">
        <v>2</v>
      </c>
      <c r="K32" s="3" t="n">
        <v>12.4</v>
      </c>
      <c r="L32" s="2">
        <f>IF((Wq_site*IF(D32="",0,1)+Wq_bio*IF(E32="",0,1)+Wq_iconic*IF(F32="",0,1)+Wq_scenic*IF(G32="",0,1)+Wq_snorkel*IF(H32="",0,1)+Wq_beach*IF(I32="",0,1))=0,"",(Wq_site*IF(D32="",0,D32)+Wq_bio*IF(E32="",0,E32)+Wq_iconic*IF(F32="",0,F32)+Wq_scenic*IF(G32="",0,G32)+Wq_snorkel*IF(H32="",0,H32)+Wq_beach*IF(I32="",0,I32))/(Wq_site*IF(D32="",0,1)+Wq_bio*IF(E32="",0,1)+Wq_iconic*IF(F32="",0,1)+Wq_scenic*IF(G32="",0,1)+Wq_snorkel*IF(H32="",0,1)+Wq_beach*IF(I32="",0,1))+MIN(WildCap,IF(J32="",0,J32)*WildBonus))</f>
        <v/>
      </c>
      <c r="M32" s="2">
        <f>IF(L32="","",ROUND(L32/(1+IF(K32="",0,K32)/120),1))</f>
        <v/>
      </c>
    </row>
    <row r="33">
      <c r="A33" s="2">
        <f>IF(M33="","",RANK(M33,$M$2:$M$69))</f>
        <v/>
      </c>
      <c r="B33" t="inlineStr">
        <is>
          <t>Isabela Island, Villamil Beach</t>
        </is>
      </c>
      <c r="C33" t="inlineStr">
        <is>
          <t>Isabela</t>
        </is>
      </c>
      <c r="D33" s="3" t="n">
        <v>65</v>
      </c>
      <c r="E33" s="3" t="n">
        <v>50</v>
      </c>
      <c r="F33" s="3" t="n">
        <v>50</v>
      </c>
      <c r="G33" s="3" t="n">
        <v>75</v>
      </c>
      <c r="H33" s="3" t="n">
        <v>65</v>
      </c>
      <c r="I33" s="3" t="n">
        <v>85</v>
      </c>
      <c r="J33" s="3" t="n">
        <v>1</v>
      </c>
      <c r="K33" s="3" t="n">
        <v>50.6</v>
      </c>
      <c r="L33" s="2">
        <f>IF((Wq_site*IF(D33="",0,1)+Wq_bio*IF(E33="",0,1)+Wq_iconic*IF(F33="",0,1)+Wq_scenic*IF(G33="",0,1)+Wq_snorkel*IF(H33="",0,1)+Wq_beach*IF(I33="",0,1))=0,"",(Wq_site*IF(D33="",0,D33)+Wq_bio*IF(E33="",0,E33)+Wq_iconic*IF(F33="",0,F33)+Wq_scenic*IF(G33="",0,G33)+Wq_snorkel*IF(H33="",0,H33)+Wq_beach*IF(I33="",0,I33))/(Wq_site*IF(D33="",0,1)+Wq_bio*IF(E33="",0,1)+Wq_iconic*IF(F33="",0,1)+Wq_scenic*IF(G33="",0,1)+Wq_snorkel*IF(H33="",0,1)+Wq_beach*IF(I33="",0,1))+MIN(WildCap,IF(J33="",0,J33)*WildBonus))</f>
        <v/>
      </c>
      <c r="M33" s="2">
        <f>IF(L33="","",ROUND(L33/(1+IF(K33="",0,K33)/120),1))</f>
        <v/>
      </c>
    </row>
    <row r="34">
      <c r="A34" s="2">
        <f>IF(M34="","",RANK(M34,$M$2:$M$69))</f>
        <v/>
      </c>
      <c r="B34" t="inlineStr">
        <is>
          <t>Santa Cruz Island, Los Gemelos - Highlands</t>
        </is>
      </c>
      <c r="C34" t="inlineStr">
        <is>
          <t>Santa Cruz</t>
        </is>
      </c>
      <c r="D34" s="3" t="n">
        <v>62</v>
      </c>
      <c r="E34" s="3" t="n">
        <v>58</v>
      </c>
      <c r="F34" s="3" t="n">
        <v>57</v>
      </c>
      <c r="G34" s="3" t="n">
        <v>70</v>
      </c>
      <c r="H34" s="3" t="n"/>
      <c r="I34" s="3" t="n"/>
      <c r="J34" s="3" t="n">
        <v>2</v>
      </c>
      <c r="K34" s="3" t="n">
        <v>12.4</v>
      </c>
      <c r="L34" s="2">
        <f>IF((Wq_site*IF(D34="",0,1)+Wq_bio*IF(E34="",0,1)+Wq_iconic*IF(F34="",0,1)+Wq_scenic*IF(G34="",0,1)+Wq_snorkel*IF(H34="",0,1)+Wq_beach*IF(I34="",0,1))=0,"",(Wq_site*IF(D34="",0,D34)+Wq_bio*IF(E34="",0,E34)+Wq_iconic*IF(F34="",0,F34)+Wq_scenic*IF(G34="",0,G34)+Wq_snorkel*IF(H34="",0,H34)+Wq_beach*IF(I34="",0,I34))/(Wq_site*IF(D34="",0,1)+Wq_bio*IF(E34="",0,1)+Wq_iconic*IF(F34="",0,1)+Wq_scenic*IF(G34="",0,1)+Wq_snorkel*IF(H34="",0,1)+Wq_beach*IF(I34="",0,1))+MIN(WildCap,IF(J34="",0,J34)*WildBonus))</f>
        <v/>
      </c>
      <c r="M34" s="2">
        <f>IF(L34="","",ROUND(L34/(1+IF(K34="",0,K34)/120),1))</f>
        <v/>
      </c>
    </row>
    <row r="35">
      <c r="A35" s="2">
        <f>IF(M35="","",RANK(M35,$M$2:$M$69))</f>
        <v/>
      </c>
      <c r="B35" t="inlineStr">
        <is>
          <t>Floreana Island, La Loberia</t>
        </is>
      </c>
      <c r="C35" t="inlineStr">
        <is>
          <t>Floreana</t>
        </is>
      </c>
      <c r="D35" s="3" t="n">
        <v>61</v>
      </c>
      <c r="E35" s="3" t="n">
        <v>53</v>
      </c>
      <c r="F35" s="3" t="n">
        <v>60</v>
      </c>
      <c r="G35" s="3" t="n">
        <v>76</v>
      </c>
      <c r="H35" s="3" t="n">
        <v>60</v>
      </c>
      <c r="I35" s="3" t="n">
        <v>54</v>
      </c>
      <c r="J35" s="3" t="n">
        <v>2</v>
      </c>
      <c r="K35" s="3" t="n">
        <v>52.4</v>
      </c>
      <c r="L35" s="2">
        <f>IF((Wq_site*IF(D35="",0,1)+Wq_bio*IF(E35="",0,1)+Wq_iconic*IF(F35="",0,1)+Wq_scenic*IF(G35="",0,1)+Wq_snorkel*IF(H35="",0,1)+Wq_beach*IF(I35="",0,1))=0,"",(Wq_site*IF(D35="",0,D35)+Wq_bio*IF(E35="",0,E35)+Wq_iconic*IF(F35="",0,F35)+Wq_scenic*IF(G35="",0,G35)+Wq_snorkel*IF(H35="",0,H35)+Wq_beach*IF(I35="",0,I35))/(Wq_site*IF(D35="",0,1)+Wq_bio*IF(E35="",0,1)+Wq_iconic*IF(F35="",0,1)+Wq_scenic*IF(G35="",0,1)+Wq_snorkel*IF(H35="",0,1)+Wq_beach*IF(I35="",0,1))+MIN(WildCap,IF(J35="",0,J35)*WildBonus))</f>
        <v/>
      </c>
      <c r="M35" s="2">
        <f>IF(L35="","",ROUND(L35/(1+IF(K35="",0,K35)/120),1))</f>
        <v/>
      </c>
    </row>
    <row r="36">
      <c r="A36" s="2">
        <f>IF(M36="","",RANK(M36,$M$2:$M$69))</f>
        <v/>
      </c>
      <c r="B36" t="inlineStr">
        <is>
          <t>San Cristóbal Island, Lobos Island</t>
        </is>
      </c>
      <c r="C36" t="inlineStr">
        <is>
          <t>San Cristóbal</t>
        </is>
      </c>
      <c r="D36" s="3" t="n">
        <v>64</v>
      </c>
      <c r="E36" s="3" t="n">
        <v>62</v>
      </c>
      <c r="F36" s="3" t="n">
        <v>52</v>
      </c>
      <c r="G36" s="3" t="n">
        <v>62</v>
      </c>
      <c r="H36" s="3" t="n">
        <v>62</v>
      </c>
      <c r="I36" s="3" t="n">
        <v>80</v>
      </c>
      <c r="J36" s="3" t="n">
        <v>1</v>
      </c>
      <c r="K36" s="3" t="n">
        <v>56.4</v>
      </c>
      <c r="L36" s="2">
        <f>IF((Wq_site*IF(D36="",0,1)+Wq_bio*IF(E36="",0,1)+Wq_iconic*IF(F36="",0,1)+Wq_scenic*IF(G36="",0,1)+Wq_snorkel*IF(H36="",0,1)+Wq_beach*IF(I36="",0,1))=0,"",(Wq_site*IF(D36="",0,D36)+Wq_bio*IF(E36="",0,E36)+Wq_iconic*IF(F36="",0,F36)+Wq_scenic*IF(G36="",0,G36)+Wq_snorkel*IF(H36="",0,H36)+Wq_beach*IF(I36="",0,I36))/(Wq_site*IF(D36="",0,1)+Wq_bio*IF(E36="",0,1)+Wq_iconic*IF(F36="",0,1)+Wq_scenic*IF(G36="",0,1)+Wq_snorkel*IF(H36="",0,1)+Wq_beach*IF(I36="",0,1))+MIN(WildCap,IF(J36="",0,J36)*WildBonus))</f>
        <v/>
      </c>
      <c r="M36" s="2">
        <f>IF(L36="","",ROUND(L36/(1+IF(K36="",0,K36)/120),1))</f>
        <v/>
      </c>
    </row>
    <row r="37">
      <c r="A37" s="2">
        <f>IF(M37="","",RANK(M37,$M$2:$M$69))</f>
        <v/>
      </c>
      <c r="B37" t="inlineStr">
        <is>
          <t>Floreana Island, Punta Cormorant - Champion Islet</t>
        </is>
      </c>
      <c r="C37" t="inlineStr">
        <is>
          <t>Floreana</t>
        </is>
      </c>
      <c r="D37" s="3" t="n">
        <v>60</v>
      </c>
      <c r="E37" s="3" t="n">
        <v>55</v>
      </c>
      <c r="F37" s="3" t="n">
        <v>55</v>
      </c>
      <c r="G37" s="3" t="n">
        <v>72</v>
      </c>
      <c r="H37" s="3" t="n">
        <v>56</v>
      </c>
      <c r="I37" s="3" t="n">
        <v>63</v>
      </c>
      <c r="J37" s="3" t="n">
        <v>2</v>
      </c>
      <c r="K37" s="3" t="n">
        <v>52.4</v>
      </c>
      <c r="L37" s="2">
        <f>IF((Wq_site*IF(D37="",0,1)+Wq_bio*IF(E37="",0,1)+Wq_iconic*IF(F37="",0,1)+Wq_scenic*IF(G37="",0,1)+Wq_snorkel*IF(H37="",0,1)+Wq_beach*IF(I37="",0,1))=0,"",(Wq_site*IF(D37="",0,D37)+Wq_bio*IF(E37="",0,E37)+Wq_iconic*IF(F37="",0,F37)+Wq_scenic*IF(G37="",0,G37)+Wq_snorkel*IF(H37="",0,H37)+Wq_beach*IF(I37="",0,I37))/(Wq_site*IF(D37="",0,1)+Wq_bio*IF(E37="",0,1)+Wq_iconic*IF(F37="",0,1)+Wq_scenic*IF(G37="",0,1)+Wq_snorkel*IF(H37="",0,1)+Wq_beach*IF(I37="",0,1))+MIN(WildCap,IF(J37="",0,J37)*WildBonus))</f>
        <v/>
      </c>
      <c r="M37" s="2">
        <f>IF(L37="","",ROUND(L37/(1+IF(K37="",0,K37)/120),1))</f>
        <v/>
      </c>
    </row>
    <row r="38">
      <c r="A38" s="2">
        <f>IF(M38="","",RANK(M38,$M$2:$M$69))</f>
        <v/>
      </c>
      <c r="B38" t="inlineStr">
        <is>
          <t>Floreana Island, Punta Cormorant - Devil`s Crown</t>
        </is>
      </c>
      <c r="C38" t="inlineStr">
        <is>
          <t>Floreana</t>
        </is>
      </c>
      <c r="D38" s="3" t="n">
        <v>60</v>
      </c>
      <c r="E38" s="3" t="n">
        <v>55</v>
      </c>
      <c r="F38" s="3" t="n">
        <v>55</v>
      </c>
      <c r="G38" s="3" t="n">
        <v>72</v>
      </c>
      <c r="H38" s="3" t="n">
        <v>56</v>
      </c>
      <c r="I38" s="3" t="n">
        <v>63</v>
      </c>
      <c r="J38" s="3" t="n">
        <v>2</v>
      </c>
      <c r="K38" s="3" t="n">
        <v>52.4</v>
      </c>
      <c r="L38" s="2">
        <f>IF((Wq_site*IF(D38="",0,1)+Wq_bio*IF(E38="",0,1)+Wq_iconic*IF(F38="",0,1)+Wq_scenic*IF(G38="",0,1)+Wq_snorkel*IF(H38="",0,1)+Wq_beach*IF(I38="",0,1))=0,"",(Wq_site*IF(D38="",0,D38)+Wq_bio*IF(E38="",0,E38)+Wq_iconic*IF(F38="",0,F38)+Wq_scenic*IF(G38="",0,G38)+Wq_snorkel*IF(H38="",0,H38)+Wq_beach*IF(I38="",0,I38))/(Wq_site*IF(D38="",0,1)+Wq_bio*IF(E38="",0,1)+Wq_iconic*IF(F38="",0,1)+Wq_scenic*IF(G38="",0,1)+Wq_snorkel*IF(H38="",0,1)+Wq_beach*IF(I38="",0,1))+MIN(WildCap,IF(J38="",0,J38)*WildBonus))</f>
        <v/>
      </c>
      <c r="M38" s="2">
        <f>IF(L38="","",ROUND(L38/(1+IF(K38="",0,K38)/120),1))</f>
        <v/>
      </c>
    </row>
    <row r="39">
      <c r="A39" s="2">
        <f>IF(M39="","",RANK(M39,$M$2:$M$69))</f>
        <v/>
      </c>
      <c r="B39" t="inlineStr">
        <is>
          <t>Santiago Island, Buccaneer Cove</t>
        </is>
      </c>
      <c r="C39" t="inlineStr">
        <is>
          <t>Santiago</t>
        </is>
      </c>
      <c r="D39" s="3" t="n">
        <v>62</v>
      </c>
      <c r="E39" s="3" t="n">
        <v>44</v>
      </c>
      <c r="F39" s="3" t="n">
        <v>51</v>
      </c>
      <c r="G39" s="3" t="n">
        <v>75</v>
      </c>
      <c r="H39" s="3" t="n">
        <v>72</v>
      </c>
      <c r="I39" s="3" t="n">
        <v>70</v>
      </c>
      <c r="J39" s="3" t="n">
        <v>1</v>
      </c>
      <c r="K39" s="3" t="n">
        <v>28.8</v>
      </c>
      <c r="L39" s="2">
        <f>IF((Wq_site*IF(D39="",0,1)+Wq_bio*IF(E39="",0,1)+Wq_iconic*IF(F39="",0,1)+Wq_scenic*IF(G39="",0,1)+Wq_snorkel*IF(H39="",0,1)+Wq_beach*IF(I39="",0,1))=0,"",(Wq_site*IF(D39="",0,D39)+Wq_bio*IF(E39="",0,E39)+Wq_iconic*IF(F39="",0,F39)+Wq_scenic*IF(G39="",0,G39)+Wq_snorkel*IF(H39="",0,H39)+Wq_beach*IF(I39="",0,I39))/(Wq_site*IF(D39="",0,1)+Wq_bio*IF(E39="",0,1)+Wq_iconic*IF(F39="",0,1)+Wq_scenic*IF(G39="",0,1)+Wq_snorkel*IF(H39="",0,1)+Wq_beach*IF(I39="",0,1))+MIN(WildCap,IF(J39="",0,J39)*WildBonus))</f>
        <v/>
      </c>
      <c r="M39" s="2">
        <f>IF(L39="","",ROUND(L39/(1+IF(K39="",0,K39)/120),1))</f>
        <v/>
      </c>
    </row>
    <row r="40">
      <c r="A40" s="2">
        <f>IF(M40="","",RANK(M40,$M$2:$M$69))</f>
        <v/>
      </c>
      <c r="B40" t="inlineStr">
        <is>
          <t>Isabela Island, Urbina Bay</t>
        </is>
      </c>
      <c r="C40" t="inlineStr">
        <is>
          <t>Isabela</t>
        </is>
      </c>
      <c r="D40" s="3" t="n">
        <v>58</v>
      </c>
      <c r="E40" s="3" t="n">
        <v>66</v>
      </c>
      <c r="F40" s="3" t="n">
        <v>69</v>
      </c>
      <c r="G40" s="3" t="n">
        <v>56</v>
      </c>
      <c r="H40" s="3" t="n">
        <v>52</v>
      </c>
      <c r="I40" s="3" t="n">
        <v>49</v>
      </c>
      <c r="J40" s="3" t="n">
        <v>3</v>
      </c>
      <c r="K40" s="3" t="n">
        <v>50.6</v>
      </c>
      <c r="L40" s="2">
        <f>IF((Wq_site*IF(D40="",0,1)+Wq_bio*IF(E40="",0,1)+Wq_iconic*IF(F40="",0,1)+Wq_scenic*IF(G40="",0,1)+Wq_snorkel*IF(H40="",0,1)+Wq_beach*IF(I40="",0,1))=0,"",(Wq_site*IF(D40="",0,D40)+Wq_bio*IF(E40="",0,E40)+Wq_iconic*IF(F40="",0,F40)+Wq_scenic*IF(G40="",0,G40)+Wq_snorkel*IF(H40="",0,H40)+Wq_beach*IF(I40="",0,I40))/(Wq_site*IF(D40="",0,1)+Wq_bio*IF(E40="",0,1)+Wq_iconic*IF(F40="",0,1)+Wq_scenic*IF(G40="",0,1)+Wq_snorkel*IF(H40="",0,1)+Wq_beach*IF(I40="",0,1))+MIN(WildCap,IF(J40="",0,J40)*WildBonus))</f>
        <v/>
      </c>
      <c r="M40" s="2">
        <f>IF(L40="","",ROUND(L40/(1+IF(K40="",0,K40)/120),1))</f>
        <v/>
      </c>
    </row>
    <row r="41">
      <c r="A41" s="2">
        <f>IF(M41="","",RANK(M41,$M$2:$M$69))</f>
        <v/>
      </c>
      <c r="B41" t="inlineStr">
        <is>
          <t>San Cristóbal Island, Cerro Tijeretas</t>
        </is>
      </c>
      <c r="C41" t="inlineStr">
        <is>
          <t>San Cristóbal</t>
        </is>
      </c>
      <c r="D41" s="3" t="n">
        <v>60</v>
      </c>
      <c r="E41" s="3" t="n">
        <v>65</v>
      </c>
      <c r="F41" s="3" t="n">
        <v>35</v>
      </c>
      <c r="G41" s="3" t="n">
        <v>80</v>
      </c>
      <c r="H41" s="3" t="n"/>
      <c r="I41" s="3" t="n"/>
      <c r="J41" s="3" t="n">
        <v>1</v>
      </c>
      <c r="K41" s="3" t="n">
        <v>56.4</v>
      </c>
      <c r="L41" s="2">
        <f>IF((Wq_site*IF(D41="",0,1)+Wq_bio*IF(E41="",0,1)+Wq_iconic*IF(F41="",0,1)+Wq_scenic*IF(G41="",0,1)+Wq_snorkel*IF(H41="",0,1)+Wq_beach*IF(I41="",0,1))=0,"",(Wq_site*IF(D41="",0,D41)+Wq_bio*IF(E41="",0,E41)+Wq_iconic*IF(F41="",0,F41)+Wq_scenic*IF(G41="",0,G41)+Wq_snorkel*IF(H41="",0,H41)+Wq_beach*IF(I41="",0,I41))/(Wq_site*IF(D41="",0,1)+Wq_bio*IF(E41="",0,1)+Wq_iconic*IF(F41="",0,1)+Wq_scenic*IF(G41="",0,1)+Wq_snorkel*IF(H41="",0,1)+Wq_beach*IF(I41="",0,1))+MIN(WildCap,IF(J41="",0,J41)*WildBonus))</f>
        <v/>
      </c>
      <c r="M41" s="2">
        <f>IF(L41="","",ROUND(L41/(1+IF(K41="",0,K41)/120),1))</f>
        <v/>
      </c>
    </row>
    <row r="42">
      <c r="A42" s="2">
        <f>IF(M42="","",RANK(M42,$M$2:$M$69))</f>
        <v/>
      </c>
      <c r="B42" t="inlineStr">
        <is>
          <t>Santa Cruz Island, Cerro Dragon</t>
        </is>
      </c>
      <c r="C42" t="inlineStr">
        <is>
          <t>Santa Cruz</t>
        </is>
      </c>
      <c r="D42" s="3" t="n">
        <v>54</v>
      </c>
      <c r="E42" s="3" t="n">
        <v>51</v>
      </c>
      <c r="F42" s="3" t="n">
        <v>57</v>
      </c>
      <c r="G42" s="3" t="n">
        <v>64</v>
      </c>
      <c r="H42" s="3" t="n">
        <v>50</v>
      </c>
      <c r="I42" s="3" t="n">
        <v>47</v>
      </c>
      <c r="J42" s="3" t="n">
        <v>5</v>
      </c>
      <c r="K42" s="3" t="n">
        <v>12.4</v>
      </c>
      <c r="L42" s="2">
        <f>IF((Wq_site*IF(D42="",0,1)+Wq_bio*IF(E42="",0,1)+Wq_iconic*IF(F42="",0,1)+Wq_scenic*IF(G42="",0,1)+Wq_snorkel*IF(H42="",0,1)+Wq_beach*IF(I42="",0,1))=0,"",(Wq_site*IF(D42="",0,D42)+Wq_bio*IF(E42="",0,E42)+Wq_iconic*IF(F42="",0,F42)+Wq_scenic*IF(G42="",0,G42)+Wq_snorkel*IF(H42="",0,H42)+Wq_beach*IF(I42="",0,I42))/(Wq_site*IF(D42="",0,1)+Wq_bio*IF(E42="",0,1)+Wq_iconic*IF(F42="",0,1)+Wq_scenic*IF(G42="",0,1)+Wq_snorkel*IF(H42="",0,1)+Wq_beach*IF(I42="",0,1))+MIN(WildCap,IF(J42="",0,J42)*WildBonus))</f>
        <v/>
      </c>
      <c r="M42" s="2">
        <f>IF(L42="","",ROUND(L42/(1+IF(K42="",0,K42)/120),1))</f>
        <v/>
      </c>
    </row>
    <row r="43">
      <c r="A43" s="2">
        <f>IF(M43="","",RANK(M43,$M$2:$M$69))</f>
        <v/>
      </c>
      <c r="B43" t="inlineStr">
        <is>
          <t>Isabela Island, Punta Moreno</t>
        </is>
      </c>
      <c r="C43" t="inlineStr">
        <is>
          <t>Isabela</t>
        </is>
      </c>
      <c r="D43" s="3" t="n">
        <v>60</v>
      </c>
      <c r="E43" s="3" t="n">
        <v>44</v>
      </c>
      <c r="F43" s="3" t="n">
        <v>44</v>
      </c>
      <c r="G43" s="3" t="n">
        <v>81</v>
      </c>
      <c r="H43" s="3" t="n">
        <v>73</v>
      </c>
      <c r="I43" s="3" t="n"/>
      <c r="J43" s="3" t="n">
        <v>1</v>
      </c>
      <c r="K43" s="3" t="n">
        <v>50.6</v>
      </c>
      <c r="L43" s="2">
        <f>IF((Wq_site*IF(D43="",0,1)+Wq_bio*IF(E43="",0,1)+Wq_iconic*IF(F43="",0,1)+Wq_scenic*IF(G43="",0,1)+Wq_snorkel*IF(H43="",0,1)+Wq_beach*IF(I43="",0,1))=0,"",(Wq_site*IF(D43="",0,D43)+Wq_bio*IF(E43="",0,E43)+Wq_iconic*IF(F43="",0,F43)+Wq_scenic*IF(G43="",0,G43)+Wq_snorkel*IF(H43="",0,H43)+Wq_beach*IF(I43="",0,I43))/(Wq_site*IF(D43="",0,1)+Wq_bio*IF(E43="",0,1)+Wq_iconic*IF(F43="",0,1)+Wq_scenic*IF(G43="",0,1)+Wq_snorkel*IF(H43="",0,1)+Wq_beach*IF(I43="",0,1))+MIN(WildCap,IF(J43="",0,J43)*WildBonus))</f>
        <v/>
      </c>
      <c r="M43" s="2">
        <f>IF(L43="","",ROUND(L43/(1+IF(K43="",0,K43)/120),1))</f>
        <v/>
      </c>
    </row>
    <row r="44">
      <c r="A44" s="2">
        <f>IF(M44="","",RANK(M44,$M$2:$M$69))</f>
        <v/>
      </c>
      <c r="B44" t="inlineStr">
        <is>
          <t>Daphne Major circumnavigation</t>
        </is>
      </c>
      <c r="C44" t="inlineStr">
        <is>
          <t>Daphne Major circumnavigation</t>
        </is>
      </c>
      <c r="D44" s="3" t="n">
        <v>61</v>
      </c>
      <c r="E44" s="3" t="n">
        <v>56</v>
      </c>
      <c r="F44" s="3" t="n">
        <v>57</v>
      </c>
      <c r="G44" s="3" t="n">
        <v>71</v>
      </c>
      <c r="H44" s="3" t="n"/>
      <c r="I44" s="3" t="n"/>
      <c r="J44" s="3" t="n">
        <v>0</v>
      </c>
      <c r="K44" s="3" t="n">
        <v>5.7</v>
      </c>
      <c r="L44" s="2">
        <f>IF((Wq_site*IF(D44="",0,1)+Wq_bio*IF(E44="",0,1)+Wq_iconic*IF(F44="",0,1)+Wq_scenic*IF(G44="",0,1)+Wq_snorkel*IF(H44="",0,1)+Wq_beach*IF(I44="",0,1))=0,"",(Wq_site*IF(D44="",0,D44)+Wq_bio*IF(E44="",0,E44)+Wq_iconic*IF(F44="",0,F44)+Wq_scenic*IF(G44="",0,G44)+Wq_snorkel*IF(H44="",0,H44)+Wq_beach*IF(I44="",0,I44))/(Wq_site*IF(D44="",0,1)+Wq_bio*IF(E44="",0,1)+Wq_iconic*IF(F44="",0,1)+Wq_scenic*IF(G44="",0,1)+Wq_snorkel*IF(H44="",0,1)+Wq_beach*IF(I44="",0,1))+MIN(WildCap,IF(J44="",0,J44)*WildBonus))</f>
        <v/>
      </c>
      <c r="M44" s="2">
        <f>IF(L44="","",ROUND(L44/(1+IF(K44="",0,K44)/120),1))</f>
        <v/>
      </c>
    </row>
    <row r="45">
      <c r="A45" s="2">
        <f>IF(M45="","",RANK(M45,$M$2:$M$69))</f>
        <v/>
      </c>
      <c r="B45" t="inlineStr">
        <is>
          <t>San Cristóbal Island, Cerro Colorado</t>
        </is>
      </c>
      <c r="C45" t="inlineStr">
        <is>
          <t>San Cristóbal</t>
        </is>
      </c>
      <c r="D45" s="3" t="n">
        <v>61</v>
      </c>
      <c r="E45" s="3" t="n">
        <v>50</v>
      </c>
      <c r="F45" s="3" t="n">
        <v>66</v>
      </c>
      <c r="G45" s="3" t="n">
        <v>57</v>
      </c>
      <c r="H45" s="3" t="n"/>
      <c r="I45" s="3" t="n">
        <v>70</v>
      </c>
      <c r="J45" s="3" t="n">
        <v>1</v>
      </c>
      <c r="K45" s="3" t="n">
        <v>56.4</v>
      </c>
      <c r="L45" s="2">
        <f>IF((Wq_site*IF(D45="",0,1)+Wq_bio*IF(E45="",0,1)+Wq_iconic*IF(F45="",0,1)+Wq_scenic*IF(G45="",0,1)+Wq_snorkel*IF(H45="",0,1)+Wq_beach*IF(I45="",0,1))=0,"",(Wq_site*IF(D45="",0,D45)+Wq_bio*IF(E45="",0,E45)+Wq_iconic*IF(F45="",0,F45)+Wq_scenic*IF(G45="",0,G45)+Wq_snorkel*IF(H45="",0,H45)+Wq_beach*IF(I45="",0,I45))/(Wq_site*IF(D45="",0,1)+Wq_bio*IF(E45="",0,1)+Wq_iconic*IF(F45="",0,1)+Wq_scenic*IF(G45="",0,1)+Wq_snorkel*IF(H45="",0,1)+Wq_beach*IF(I45="",0,1))+MIN(WildCap,IF(J45="",0,J45)*WildBonus))</f>
        <v/>
      </c>
      <c r="M45" s="2">
        <f>IF(L45="","",ROUND(L45/(1+IF(K45="",0,K45)/120),1))</f>
        <v/>
      </c>
    </row>
    <row r="46">
      <c r="A46" s="2">
        <f>IF(M46="","",RANK(M46,$M$2:$M$69))</f>
        <v/>
      </c>
      <c r="B46" t="inlineStr">
        <is>
          <t>San Cristóbal Island, Galapaguera</t>
        </is>
      </c>
      <c r="C46" t="inlineStr">
        <is>
          <t>San Cristóbal</t>
        </is>
      </c>
      <c r="D46" s="3" t="n">
        <v>61</v>
      </c>
      <c r="E46" s="3" t="n">
        <v>50</v>
      </c>
      <c r="F46" s="3" t="n">
        <v>66</v>
      </c>
      <c r="G46" s="3" t="n">
        <v>57</v>
      </c>
      <c r="H46" s="3" t="n"/>
      <c r="I46" s="3" t="n">
        <v>70</v>
      </c>
      <c r="J46" s="3" t="n">
        <v>1</v>
      </c>
      <c r="K46" s="3" t="n">
        <v>56.4</v>
      </c>
      <c r="L46" s="2">
        <f>IF((Wq_site*IF(D46="",0,1)+Wq_bio*IF(E46="",0,1)+Wq_iconic*IF(F46="",0,1)+Wq_scenic*IF(G46="",0,1)+Wq_snorkel*IF(H46="",0,1)+Wq_beach*IF(I46="",0,1))=0,"",(Wq_site*IF(D46="",0,D46)+Wq_bio*IF(E46="",0,E46)+Wq_iconic*IF(F46="",0,F46)+Wq_scenic*IF(G46="",0,G46)+Wq_snorkel*IF(H46="",0,H46)+Wq_beach*IF(I46="",0,I46))/(Wq_site*IF(D46="",0,1)+Wq_bio*IF(E46="",0,1)+Wq_iconic*IF(F46="",0,1)+Wq_scenic*IF(G46="",0,1)+Wq_snorkel*IF(H46="",0,1)+Wq_beach*IF(I46="",0,1))+MIN(WildCap,IF(J46="",0,J46)*WildBonus))</f>
        <v/>
      </c>
      <c r="M46" s="2">
        <f>IF(L46="","",ROUND(L46/(1+IF(K46="",0,K46)/120),1))</f>
        <v/>
      </c>
    </row>
    <row r="47">
      <c r="A47" s="2">
        <f>IF(M47="","",RANK(M47,$M$2:$M$69))</f>
        <v/>
      </c>
      <c r="B47" t="inlineStr">
        <is>
          <t>Isabela Island, Wetlands</t>
        </is>
      </c>
      <c r="C47" t="inlineStr">
        <is>
          <t>Isabela</t>
        </is>
      </c>
      <c r="D47" s="3" t="n">
        <v>61</v>
      </c>
      <c r="E47" s="3" t="n">
        <v>59</v>
      </c>
      <c r="F47" s="3" t="n">
        <v>56</v>
      </c>
      <c r="G47" s="3" t="n">
        <v>68</v>
      </c>
      <c r="H47" s="3" t="n"/>
      <c r="I47" s="3" t="n"/>
      <c r="J47" s="3" t="n">
        <v>0</v>
      </c>
      <c r="K47" s="3" t="n">
        <v>50.6</v>
      </c>
      <c r="L47" s="2">
        <f>IF((Wq_site*IF(D47="",0,1)+Wq_bio*IF(E47="",0,1)+Wq_iconic*IF(F47="",0,1)+Wq_scenic*IF(G47="",0,1)+Wq_snorkel*IF(H47="",0,1)+Wq_beach*IF(I47="",0,1))=0,"",(Wq_site*IF(D47="",0,D47)+Wq_bio*IF(E47="",0,E47)+Wq_iconic*IF(F47="",0,F47)+Wq_scenic*IF(G47="",0,G47)+Wq_snorkel*IF(H47="",0,H47)+Wq_beach*IF(I47="",0,I47))/(Wq_site*IF(D47="",0,1)+Wq_bio*IF(E47="",0,1)+Wq_iconic*IF(F47="",0,1)+Wq_scenic*IF(G47="",0,1)+Wq_snorkel*IF(H47="",0,1)+Wq_beach*IF(I47="",0,1))+MIN(WildCap,IF(J47="",0,J47)*WildBonus))</f>
        <v/>
      </c>
      <c r="M47" s="2">
        <f>IF(L47="","",ROUND(L47/(1+IF(K47="",0,K47)/120),1))</f>
        <v/>
      </c>
    </row>
    <row r="48">
      <c r="A48" s="2">
        <f>IF(M48="","",RANK(M48,$M$2:$M$69))</f>
        <v/>
      </c>
      <c r="B48" t="inlineStr">
        <is>
          <t>Santa Cruz Island, Bachas Beach</t>
        </is>
      </c>
      <c r="C48" t="inlineStr">
        <is>
          <t>Santa Cruz</t>
        </is>
      </c>
      <c r="D48" s="3" t="n">
        <v>57</v>
      </c>
      <c r="E48" s="3" t="n">
        <v>53</v>
      </c>
      <c r="F48" s="3" t="n">
        <v>47</v>
      </c>
      <c r="G48" s="3" t="n">
        <v>64</v>
      </c>
      <c r="H48" s="3" t="n">
        <v>43</v>
      </c>
      <c r="I48" s="3" t="n">
        <v>77</v>
      </c>
      <c r="J48" s="3" t="n">
        <v>2</v>
      </c>
      <c r="K48" s="3" t="n">
        <v>12.4</v>
      </c>
      <c r="L48" s="2">
        <f>IF((Wq_site*IF(D48="",0,1)+Wq_bio*IF(E48="",0,1)+Wq_iconic*IF(F48="",0,1)+Wq_scenic*IF(G48="",0,1)+Wq_snorkel*IF(H48="",0,1)+Wq_beach*IF(I48="",0,1))=0,"",(Wq_site*IF(D48="",0,D48)+Wq_bio*IF(E48="",0,E48)+Wq_iconic*IF(F48="",0,F48)+Wq_scenic*IF(G48="",0,G48)+Wq_snorkel*IF(H48="",0,H48)+Wq_beach*IF(I48="",0,I48))/(Wq_site*IF(D48="",0,1)+Wq_bio*IF(E48="",0,1)+Wq_iconic*IF(F48="",0,1)+Wq_scenic*IF(G48="",0,1)+Wq_snorkel*IF(H48="",0,1)+Wq_beach*IF(I48="",0,1))+MIN(WildCap,IF(J48="",0,J48)*WildBonus))</f>
        <v/>
      </c>
      <c r="M48" s="2">
        <f>IF(L48="","",ROUND(L48/(1+IF(K48="",0,K48)/120),1))</f>
        <v/>
      </c>
    </row>
    <row r="49">
      <c r="A49" s="2">
        <f>IF(M49="","",RANK(M49,$M$2:$M$69))</f>
        <v/>
      </c>
      <c r="B49" t="inlineStr">
        <is>
          <t>Santiago Island, Sullivan Bay</t>
        </is>
      </c>
      <c r="C49" t="inlineStr">
        <is>
          <t>Santiago</t>
        </is>
      </c>
      <c r="D49" s="3" t="n">
        <v>58</v>
      </c>
      <c r="E49" s="3" t="n">
        <v>30</v>
      </c>
      <c r="F49" s="3" t="n">
        <v>35</v>
      </c>
      <c r="G49" s="3" t="n">
        <v>84</v>
      </c>
      <c r="H49" s="3" t="n">
        <v>75</v>
      </c>
      <c r="I49" s="3" t="n">
        <v>64</v>
      </c>
      <c r="J49" s="3" t="n">
        <v>1</v>
      </c>
      <c r="K49" s="3" t="n">
        <v>28.8</v>
      </c>
      <c r="L49" s="2">
        <f>IF((Wq_site*IF(D49="",0,1)+Wq_bio*IF(E49="",0,1)+Wq_iconic*IF(F49="",0,1)+Wq_scenic*IF(G49="",0,1)+Wq_snorkel*IF(H49="",0,1)+Wq_beach*IF(I49="",0,1))=0,"",(Wq_site*IF(D49="",0,D49)+Wq_bio*IF(E49="",0,E49)+Wq_iconic*IF(F49="",0,F49)+Wq_scenic*IF(G49="",0,G49)+Wq_snorkel*IF(H49="",0,H49)+Wq_beach*IF(I49="",0,I49))/(Wq_site*IF(D49="",0,1)+Wq_bio*IF(E49="",0,1)+Wq_iconic*IF(F49="",0,1)+Wq_scenic*IF(G49="",0,1)+Wq_snorkel*IF(H49="",0,1)+Wq_beach*IF(I49="",0,1))+MIN(WildCap,IF(J49="",0,J49)*WildBonus))</f>
        <v/>
      </c>
      <c r="M49" s="2">
        <f>IF(L49="","",ROUND(L49/(1+IF(K49="",0,K49)/120),1))</f>
        <v/>
      </c>
    </row>
    <row r="50">
      <c r="A50" s="2">
        <f>IF(M50="","",RANK(M50,$M$2:$M$69))</f>
        <v/>
      </c>
      <c r="B50" t="inlineStr">
        <is>
          <t>Marchena Island, Playa Negra</t>
        </is>
      </c>
      <c r="C50" t="inlineStr">
        <is>
          <t>Marchena</t>
        </is>
      </c>
      <c r="D50" s="3" t="n">
        <v>54</v>
      </c>
      <c r="E50" s="3" t="n">
        <v>50</v>
      </c>
      <c r="F50" s="3" t="n">
        <v>43</v>
      </c>
      <c r="G50" s="3" t="n">
        <v>53</v>
      </c>
      <c r="H50" s="3" t="n">
        <v>70</v>
      </c>
      <c r="I50" s="3" t="n"/>
      <c r="J50" s="3" t="n">
        <v>4</v>
      </c>
      <c r="K50" s="3" t="n">
        <v>47.4</v>
      </c>
      <c r="L50" s="2">
        <f>IF((Wq_site*IF(D50="",0,1)+Wq_bio*IF(E50="",0,1)+Wq_iconic*IF(F50="",0,1)+Wq_scenic*IF(G50="",0,1)+Wq_snorkel*IF(H50="",0,1)+Wq_beach*IF(I50="",0,1))=0,"",(Wq_site*IF(D50="",0,D50)+Wq_bio*IF(E50="",0,E50)+Wq_iconic*IF(F50="",0,F50)+Wq_scenic*IF(G50="",0,G50)+Wq_snorkel*IF(H50="",0,H50)+Wq_beach*IF(I50="",0,I50))/(Wq_site*IF(D50="",0,1)+Wq_bio*IF(E50="",0,1)+Wq_iconic*IF(F50="",0,1)+Wq_scenic*IF(G50="",0,1)+Wq_snorkel*IF(H50="",0,1)+Wq_beach*IF(I50="",0,1))+MIN(WildCap,IF(J50="",0,J50)*WildBonus))</f>
        <v/>
      </c>
      <c r="M50" s="2">
        <f>IF(L50="","",ROUND(L50/(1+IF(K50="",0,K50)/120),1))</f>
        <v/>
      </c>
    </row>
    <row r="51">
      <c r="A51" s="2">
        <f>IF(M51="","",RANK(M51,$M$2:$M$69))</f>
        <v/>
      </c>
      <c r="B51" t="inlineStr">
        <is>
          <t>Santa Cruz Island, Punta Carrión</t>
        </is>
      </c>
      <c r="C51" t="inlineStr">
        <is>
          <t>Santa Cruz</t>
        </is>
      </c>
      <c r="D51" s="3" t="n">
        <v>56</v>
      </c>
      <c r="E51" s="3" t="n">
        <v>53</v>
      </c>
      <c r="F51" s="3" t="n">
        <v>35</v>
      </c>
      <c r="G51" s="3" t="n">
        <v>55</v>
      </c>
      <c r="H51" s="3" t="n">
        <v>69</v>
      </c>
      <c r="I51" s="3" t="n">
        <v>70</v>
      </c>
      <c r="J51" s="3" t="n">
        <v>2</v>
      </c>
      <c r="K51" s="3" t="n">
        <v>12.4</v>
      </c>
      <c r="L51" s="2">
        <f>IF((Wq_site*IF(D51="",0,1)+Wq_bio*IF(E51="",0,1)+Wq_iconic*IF(F51="",0,1)+Wq_scenic*IF(G51="",0,1)+Wq_snorkel*IF(H51="",0,1)+Wq_beach*IF(I51="",0,1))=0,"",(Wq_site*IF(D51="",0,D51)+Wq_bio*IF(E51="",0,E51)+Wq_iconic*IF(F51="",0,F51)+Wq_scenic*IF(G51="",0,G51)+Wq_snorkel*IF(H51="",0,H51)+Wq_beach*IF(I51="",0,I51))/(Wq_site*IF(D51="",0,1)+Wq_bio*IF(E51="",0,1)+Wq_iconic*IF(F51="",0,1)+Wq_scenic*IF(G51="",0,1)+Wq_snorkel*IF(H51="",0,1)+Wq_beach*IF(I51="",0,1))+MIN(WildCap,IF(J51="",0,J51)*WildBonus))</f>
        <v/>
      </c>
      <c r="M51" s="2">
        <f>IF(L51="","",ROUND(L51/(1+IF(K51="",0,K51)/120),1))</f>
        <v/>
      </c>
    </row>
    <row r="52">
      <c r="A52" s="2">
        <f>IF(M52="","",RANK(M52,$M$2:$M$69))</f>
        <v/>
      </c>
      <c r="B52" t="inlineStr">
        <is>
          <t>Mosquera Island</t>
        </is>
      </c>
      <c r="C52" t="inlineStr">
        <is>
          <t>Mosquera</t>
        </is>
      </c>
      <c r="D52" s="3" t="n">
        <v>56</v>
      </c>
      <c r="E52" s="3" t="n">
        <v>42</v>
      </c>
      <c r="F52" s="3" t="n">
        <v>55</v>
      </c>
      <c r="G52" s="3" t="n">
        <v>66</v>
      </c>
      <c r="H52" s="3" t="n">
        <v>51</v>
      </c>
      <c r="I52" s="3" t="n">
        <v>65</v>
      </c>
      <c r="J52" s="3" t="n">
        <v>1</v>
      </c>
      <c r="K52" s="3" t="n">
        <v>1.4</v>
      </c>
      <c r="L52" s="2">
        <f>IF((Wq_site*IF(D52="",0,1)+Wq_bio*IF(E52="",0,1)+Wq_iconic*IF(F52="",0,1)+Wq_scenic*IF(G52="",0,1)+Wq_snorkel*IF(H52="",0,1)+Wq_beach*IF(I52="",0,1))=0,"",(Wq_site*IF(D52="",0,D52)+Wq_bio*IF(E52="",0,E52)+Wq_iconic*IF(F52="",0,F52)+Wq_scenic*IF(G52="",0,G52)+Wq_snorkel*IF(H52="",0,H52)+Wq_beach*IF(I52="",0,I52))/(Wq_site*IF(D52="",0,1)+Wq_bio*IF(E52="",0,1)+Wq_iconic*IF(F52="",0,1)+Wq_scenic*IF(G52="",0,1)+Wq_snorkel*IF(H52="",0,1)+Wq_beach*IF(I52="",0,1))+MIN(WildCap,IF(J52="",0,J52)*WildBonus))</f>
        <v/>
      </c>
      <c r="M52" s="2">
        <f>IF(L52="","",ROUND(L52/(1+IF(K52="",0,K52)/120),1))</f>
        <v/>
      </c>
    </row>
    <row r="53">
      <c r="A53" s="2">
        <f>IF(M53="","",RANK(M53,$M$2:$M$69))</f>
        <v/>
      </c>
      <c r="B53" t="inlineStr">
        <is>
          <t>Isabela Island, Sierra Negra</t>
        </is>
      </c>
      <c r="C53" t="inlineStr">
        <is>
          <t>Isabela</t>
        </is>
      </c>
      <c r="D53" s="3" t="n">
        <v>55</v>
      </c>
      <c r="E53" s="3" t="n">
        <v>36</v>
      </c>
      <c r="F53" s="3" t="n">
        <v>37</v>
      </c>
      <c r="G53" s="3" t="n">
        <v>91</v>
      </c>
      <c r="H53" s="3" t="n"/>
      <c r="I53" s="3" t="n"/>
      <c r="J53" s="3" t="n">
        <v>0</v>
      </c>
      <c r="K53" s="3" t="n">
        <v>50.6</v>
      </c>
      <c r="L53" s="2">
        <f>IF((Wq_site*IF(D53="",0,1)+Wq_bio*IF(E53="",0,1)+Wq_iconic*IF(F53="",0,1)+Wq_scenic*IF(G53="",0,1)+Wq_snorkel*IF(H53="",0,1)+Wq_beach*IF(I53="",0,1))=0,"",(Wq_site*IF(D53="",0,D53)+Wq_bio*IF(E53="",0,E53)+Wq_iconic*IF(F53="",0,F53)+Wq_scenic*IF(G53="",0,G53)+Wq_snorkel*IF(H53="",0,H53)+Wq_beach*IF(I53="",0,I53))/(Wq_site*IF(D53="",0,1)+Wq_bio*IF(E53="",0,1)+Wq_iconic*IF(F53="",0,1)+Wq_scenic*IF(G53="",0,1)+Wq_snorkel*IF(H53="",0,1)+Wq_beach*IF(I53="",0,1))+MIN(WildCap,IF(J53="",0,J53)*WildBonus))</f>
        <v/>
      </c>
      <c r="M53" s="2">
        <f>IF(L53="","",ROUND(L53/(1+IF(K53="",0,K53)/120),1))</f>
        <v/>
      </c>
    </row>
    <row r="54">
      <c r="A54" s="2">
        <f>IF(M54="","",RANK(M54,$M$2:$M$69))</f>
        <v/>
      </c>
      <c r="B54" t="inlineStr">
        <is>
          <t>San Cristóbal Island, Tortoise breeding centre</t>
        </is>
      </c>
      <c r="C54" t="inlineStr">
        <is>
          <t>San Cristóbal</t>
        </is>
      </c>
      <c r="D54" s="3" t="n">
        <v>57</v>
      </c>
      <c r="E54" s="3" t="n">
        <v>59</v>
      </c>
      <c r="F54" s="3" t="n">
        <v>66</v>
      </c>
      <c r="G54" s="3" t="n">
        <v>47</v>
      </c>
      <c r="H54" s="3" t="n"/>
      <c r="I54" s="3" t="n"/>
      <c r="J54" s="3" t="n">
        <v>0</v>
      </c>
      <c r="K54" s="3" t="n">
        <v>56.4</v>
      </c>
      <c r="L54" s="2">
        <f>IF((Wq_site*IF(D54="",0,1)+Wq_bio*IF(E54="",0,1)+Wq_iconic*IF(F54="",0,1)+Wq_scenic*IF(G54="",0,1)+Wq_snorkel*IF(H54="",0,1)+Wq_beach*IF(I54="",0,1))=0,"",(Wq_site*IF(D54="",0,D54)+Wq_bio*IF(E54="",0,E54)+Wq_iconic*IF(F54="",0,F54)+Wq_scenic*IF(G54="",0,G54)+Wq_snorkel*IF(H54="",0,H54)+Wq_beach*IF(I54="",0,I54))/(Wq_site*IF(D54="",0,1)+Wq_bio*IF(E54="",0,1)+Wq_iconic*IF(F54="",0,1)+Wq_scenic*IF(G54="",0,1)+Wq_snorkel*IF(H54="",0,1)+Wq_beach*IF(I54="",0,1))+MIN(WildCap,IF(J54="",0,J54)*WildBonus))</f>
        <v/>
      </c>
      <c r="M54" s="2">
        <f>IF(L54="","",ROUND(L54/(1+IF(K54="",0,K54)/120),1))</f>
        <v/>
      </c>
    </row>
    <row r="55">
      <c r="A55" s="2">
        <f>IF(M55="","",RANK(M55,$M$2:$M$69))</f>
        <v/>
      </c>
      <c r="B55" t="inlineStr">
        <is>
          <t>Santa Cruz Island, Darwin Station - Tortoise Centre</t>
        </is>
      </c>
      <c r="C55" t="inlineStr">
        <is>
          <t>Santa Cruz</t>
        </is>
      </c>
      <c r="D55" s="3" t="n">
        <v>53</v>
      </c>
      <c r="E55" s="3" t="n">
        <v>53</v>
      </c>
      <c r="F55" s="3" t="n">
        <v>65</v>
      </c>
      <c r="G55" s="3" t="n">
        <v>40</v>
      </c>
      <c r="H55" s="3" t="n"/>
      <c r="I55" s="3" t="n"/>
      <c r="J55" s="3" t="n">
        <v>1</v>
      </c>
      <c r="K55" s="3" t="n">
        <v>12.4</v>
      </c>
      <c r="L55" s="2">
        <f>IF((Wq_site*IF(D55="",0,1)+Wq_bio*IF(E55="",0,1)+Wq_iconic*IF(F55="",0,1)+Wq_scenic*IF(G55="",0,1)+Wq_snorkel*IF(H55="",0,1)+Wq_beach*IF(I55="",0,1))=0,"",(Wq_site*IF(D55="",0,D55)+Wq_bio*IF(E55="",0,E55)+Wq_iconic*IF(F55="",0,F55)+Wq_scenic*IF(G55="",0,G55)+Wq_snorkel*IF(H55="",0,H55)+Wq_beach*IF(I55="",0,I55))/(Wq_site*IF(D55="",0,1)+Wq_bio*IF(E55="",0,1)+Wq_iconic*IF(F55="",0,1)+Wq_scenic*IF(G55="",0,1)+Wq_snorkel*IF(H55="",0,1)+Wq_beach*IF(I55="",0,1))+MIN(WildCap,IF(J55="",0,J55)*WildBonus))</f>
        <v/>
      </c>
      <c r="M55" s="2">
        <f>IF(L55="","",ROUND(L55/(1+IF(K55="",0,K55)/120),1))</f>
        <v/>
      </c>
    </row>
    <row r="56">
      <c r="A56" s="2">
        <f>IF(M56="","",RANK(M56,$M$2:$M$69))</f>
        <v/>
      </c>
      <c r="B56" t="inlineStr">
        <is>
          <t>Santa Cruz Island, El Eden Islet</t>
        </is>
      </c>
      <c r="C56" t="inlineStr">
        <is>
          <t>Santa Cruz</t>
        </is>
      </c>
      <c r="D56" s="3" t="n">
        <v>44</v>
      </c>
      <c r="E56" s="3" t="n">
        <v>58</v>
      </c>
      <c r="F56" s="3" t="n">
        <v>55</v>
      </c>
      <c r="G56" s="3" t="n">
        <v>59</v>
      </c>
      <c r="H56" s="3" t="n">
        <v>5</v>
      </c>
      <c r="I56" s="3" t="n"/>
      <c r="J56" s="3" t="n">
        <v>3</v>
      </c>
      <c r="K56" s="3" t="n">
        <v>12.4</v>
      </c>
      <c r="L56" s="2">
        <f>IF((Wq_site*IF(D56="",0,1)+Wq_bio*IF(E56="",0,1)+Wq_iconic*IF(F56="",0,1)+Wq_scenic*IF(G56="",0,1)+Wq_snorkel*IF(H56="",0,1)+Wq_beach*IF(I56="",0,1))=0,"",(Wq_site*IF(D56="",0,D56)+Wq_bio*IF(E56="",0,E56)+Wq_iconic*IF(F56="",0,F56)+Wq_scenic*IF(G56="",0,G56)+Wq_snorkel*IF(H56="",0,H56)+Wq_beach*IF(I56="",0,I56))/(Wq_site*IF(D56="",0,1)+Wq_bio*IF(E56="",0,1)+Wq_iconic*IF(F56="",0,1)+Wq_scenic*IF(G56="",0,1)+Wq_snorkel*IF(H56="",0,1)+Wq_beach*IF(I56="",0,1))+MIN(WildCap,IF(J56="",0,J56)*WildBonus))</f>
        <v/>
      </c>
      <c r="M56" s="2">
        <f>IF(L56="","",ROUND(L56/(1+IF(K56="",0,K56)/120),1))</f>
        <v/>
      </c>
    </row>
    <row r="57">
      <c r="A57" s="2">
        <f>IF(M57="","",RANK(M57,$M$2:$M$69))</f>
        <v/>
      </c>
      <c r="B57" t="inlineStr">
        <is>
          <t>Floreana Island, Baroness' lookout</t>
        </is>
      </c>
      <c r="C57" t="inlineStr">
        <is>
          <t>Floreana</t>
        </is>
      </c>
      <c r="D57" s="3" t="n">
        <v>51</v>
      </c>
      <c r="E57" s="3" t="n">
        <v>38</v>
      </c>
      <c r="F57" s="3" t="n">
        <v>35</v>
      </c>
      <c r="G57" s="3" t="n">
        <v>70</v>
      </c>
      <c r="H57" s="3" t="n"/>
      <c r="I57" s="3" t="n">
        <v>60</v>
      </c>
      <c r="J57" s="3" t="n">
        <v>0</v>
      </c>
      <c r="K57" s="3" t="n">
        <v>52.4</v>
      </c>
      <c r="L57" s="2">
        <f>IF((Wq_site*IF(D57="",0,1)+Wq_bio*IF(E57="",0,1)+Wq_iconic*IF(F57="",0,1)+Wq_scenic*IF(G57="",0,1)+Wq_snorkel*IF(H57="",0,1)+Wq_beach*IF(I57="",0,1))=0,"",(Wq_site*IF(D57="",0,D57)+Wq_bio*IF(E57="",0,E57)+Wq_iconic*IF(F57="",0,F57)+Wq_scenic*IF(G57="",0,G57)+Wq_snorkel*IF(H57="",0,H57)+Wq_beach*IF(I57="",0,I57))/(Wq_site*IF(D57="",0,1)+Wq_bio*IF(E57="",0,1)+Wq_iconic*IF(F57="",0,1)+Wq_scenic*IF(G57="",0,1)+Wq_snorkel*IF(H57="",0,1)+Wq_beach*IF(I57="",0,1))+MIN(WildCap,IF(J57="",0,J57)*WildBonus))</f>
        <v/>
      </c>
      <c r="M57" s="2">
        <f>IF(L57="","",ROUND(L57/(1+IF(K57="",0,K57)/120),1))</f>
        <v/>
      </c>
    </row>
    <row r="58">
      <c r="A58" s="2">
        <f>IF(M58="","",RANK(M58,$M$2:$M$69))</f>
        <v/>
      </c>
      <c r="B58" t="inlineStr">
        <is>
          <t>Isabela Island, Villamil Tortoise Centre</t>
        </is>
      </c>
      <c r="C58" t="inlineStr">
        <is>
          <t>Isabela</t>
        </is>
      </c>
      <c r="D58" s="3" t="n">
        <v>50</v>
      </c>
      <c r="E58" s="3" t="n">
        <v>37</v>
      </c>
      <c r="F58" s="3" t="n">
        <v>80</v>
      </c>
      <c r="G58" s="3" t="n">
        <v>34</v>
      </c>
      <c r="H58" s="3" t="n"/>
      <c r="I58" s="3" t="n"/>
      <c r="J58" s="3" t="n">
        <v>0</v>
      </c>
      <c r="K58" s="3" t="n">
        <v>50.6</v>
      </c>
      <c r="L58" s="2">
        <f>IF((Wq_site*IF(D58="",0,1)+Wq_bio*IF(E58="",0,1)+Wq_iconic*IF(F58="",0,1)+Wq_scenic*IF(G58="",0,1)+Wq_snorkel*IF(H58="",0,1)+Wq_beach*IF(I58="",0,1))=0,"",(Wq_site*IF(D58="",0,D58)+Wq_bio*IF(E58="",0,E58)+Wq_iconic*IF(F58="",0,F58)+Wq_scenic*IF(G58="",0,G58)+Wq_snorkel*IF(H58="",0,H58)+Wq_beach*IF(I58="",0,I58))/(Wq_site*IF(D58="",0,1)+Wq_bio*IF(E58="",0,1)+Wq_iconic*IF(F58="",0,1)+Wq_scenic*IF(G58="",0,1)+Wq_snorkel*IF(H58="",0,1)+Wq_beach*IF(I58="",0,1))+MIN(WildCap,IF(J58="",0,J58)*WildBonus))</f>
        <v/>
      </c>
      <c r="M58" s="2">
        <f>IF(L58="","",ROUND(L58/(1+IF(K58="",0,K58)/120),1))</f>
        <v/>
      </c>
    </row>
    <row r="59">
      <c r="A59" s="2">
        <f>IF(M59="","",RANK(M59,$M$2:$M$69))</f>
        <v/>
      </c>
      <c r="B59" t="inlineStr">
        <is>
          <t>Santiago Island, Espumilla Beach</t>
        </is>
      </c>
      <c r="C59" t="inlineStr">
        <is>
          <t>Santiago</t>
        </is>
      </c>
      <c r="D59" s="3" t="n">
        <v>49</v>
      </c>
      <c r="E59" s="3" t="n">
        <v>46</v>
      </c>
      <c r="F59" s="3" t="n">
        <v>41</v>
      </c>
      <c r="G59" s="3" t="n">
        <v>53</v>
      </c>
      <c r="H59" s="3" t="n">
        <v>48</v>
      </c>
      <c r="I59" s="3" t="n">
        <v>55</v>
      </c>
      <c r="J59" s="3" t="n">
        <v>0</v>
      </c>
      <c r="K59" s="3" t="n">
        <v>28.8</v>
      </c>
      <c r="L59" s="2">
        <f>IF((Wq_site*IF(D59="",0,1)+Wq_bio*IF(E59="",0,1)+Wq_iconic*IF(F59="",0,1)+Wq_scenic*IF(G59="",0,1)+Wq_snorkel*IF(H59="",0,1)+Wq_beach*IF(I59="",0,1))=0,"",(Wq_site*IF(D59="",0,D59)+Wq_bio*IF(E59="",0,E59)+Wq_iconic*IF(F59="",0,F59)+Wq_scenic*IF(G59="",0,G59)+Wq_snorkel*IF(H59="",0,H59)+Wq_beach*IF(I59="",0,I59))/(Wq_site*IF(D59="",0,1)+Wq_bio*IF(E59="",0,1)+Wq_iconic*IF(F59="",0,1)+Wq_scenic*IF(G59="",0,1)+Wq_snorkel*IF(H59="",0,1)+Wq_beach*IF(I59="",0,1))+MIN(WildCap,IF(J59="",0,J59)*WildBonus))</f>
        <v/>
      </c>
      <c r="M59" s="2">
        <f>IF(L59="","",ROUND(L59/(1+IF(K59="",0,K59)/120),1))</f>
        <v/>
      </c>
    </row>
    <row r="60">
      <c r="A60" s="2">
        <f>IF(M60="","",RANK(M60,$M$2:$M$69))</f>
        <v/>
      </c>
      <c r="B60" t="inlineStr">
        <is>
          <t>San Cristóbal Island, El Junco</t>
        </is>
      </c>
      <c r="C60" t="inlineStr">
        <is>
          <t>San Cristóbal</t>
        </is>
      </c>
      <c r="D60" s="3" t="n">
        <v>47</v>
      </c>
      <c r="E60" s="3" t="n">
        <v>39</v>
      </c>
      <c r="F60" s="3" t="n">
        <v>34</v>
      </c>
      <c r="G60" s="3" t="n">
        <v>67</v>
      </c>
      <c r="H60" s="3" t="n"/>
      <c r="I60" s="3" t="n"/>
      <c r="J60" s="3" t="n">
        <v>0</v>
      </c>
      <c r="K60" s="3" t="n">
        <v>56.4</v>
      </c>
      <c r="L60" s="2">
        <f>IF((Wq_site*IF(D60="",0,1)+Wq_bio*IF(E60="",0,1)+Wq_iconic*IF(F60="",0,1)+Wq_scenic*IF(G60="",0,1)+Wq_snorkel*IF(H60="",0,1)+Wq_beach*IF(I60="",0,1))=0,"",(Wq_site*IF(D60="",0,D60)+Wq_bio*IF(E60="",0,E60)+Wq_iconic*IF(F60="",0,F60)+Wq_scenic*IF(G60="",0,G60)+Wq_snorkel*IF(H60="",0,H60)+Wq_beach*IF(I60="",0,I60))/(Wq_site*IF(D60="",0,1)+Wq_bio*IF(E60="",0,1)+Wq_iconic*IF(F60="",0,1)+Wq_scenic*IF(G60="",0,1)+Wq_snorkel*IF(H60="",0,1)+Wq_beach*IF(I60="",0,1))+MIN(WildCap,IF(J60="",0,J60)*WildBonus))</f>
        <v/>
      </c>
      <c r="M60" s="2">
        <f>IF(L60="","",ROUND(L60/(1+IF(K60="",0,K60)/120),1))</f>
        <v/>
      </c>
    </row>
    <row r="61">
      <c r="A61" s="2">
        <f>IF(M61="","",RANK(M61,$M$2:$M$69))</f>
        <v/>
      </c>
      <c r="B61" t="inlineStr">
        <is>
          <t>Bainbridge Rocks</t>
        </is>
      </c>
      <c r="C61" t="inlineStr">
        <is>
          <t>Bainbridge Rocks</t>
        </is>
      </c>
      <c r="D61" s="3" t="n">
        <v>47</v>
      </c>
      <c r="E61" s="3" t="n">
        <v>40</v>
      </c>
      <c r="F61" s="3" t="n">
        <v>65</v>
      </c>
      <c r="G61" s="3" t="n">
        <v>35</v>
      </c>
      <c r="H61" s="3" t="n"/>
      <c r="I61" s="3" t="n"/>
      <c r="J61" s="3" t="n">
        <v>1</v>
      </c>
      <c r="K61" s="3" t="n"/>
      <c r="L61" s="2">
        <f>IF((Wq_site*IF(D61="",0,1)+Wq_bio*IF(E61="",0,1)+Wq_iconic*IF(F61="",0,1)+Wq_scenic*IF(G61="",0,1)+Wq_snorkel*IF(H61="",0,1)+Wq_beach*IF(I61="",0,1))=0,"",(Wq_site*IF(D61="",0,D61)+Wq_bio*IF(E61="",0,E61)+Wq_iconic*IF(F61="",0,F61)+Wq_scenic*IF(G61="",0,G61)+Wq_snorkel*IF(H61="",0,H61)+Wq_beach*IF(I61="",0,I61))/(Wq_site*IF(D61="",0,1)+Wq_bio*IF(E61="",0,1)+Wq_iconic*IF(F61="",0,1)+Wq_scenic*IF(G61="",0,1)+Wq_snorkel*IF(H61="",0,1)+Wq_beach*IF(I61="",0,1))+MIN(WildCap,IF(J61="",0,J61)*WildBonus))</f>
        <v/>
      </c>
      <c r="M61" s="2">
        <f>IF(L61="","",ROUND(L61/(1+IF(K61="",0,K61)/120),1))</f>
        <v/>
      </c>
    </row>
    <row r="62">
      <c r="A62" s="2">
        <f>IF(M62="","",RANK(M62,$M$2:$M$69))</f>
        <v/>
      </c>
      <c r="B62" t="inlineStr">
        <is>
          <t>Floreana Island, Asilo de Paz</t>
        </is>
      </c>
      <c r="C62" t="inlineStr">
        <is>
          <t>Floreana</t>
        </is>
      </c>
      <c r="D62" s="3" t="n">
        <v>37</v>
      </c>
      <c r="E62" s="3" t="n">
        <v>33</v>
      </c>
      <c r="F62" s="3" t="n">
        <v>27</v>
      </c>
      <c r="G62" s="3" t="n">
        <v>52</v>
      </c>
      <c r="H62" s="3" t="n"/>
      <c r="I62" s="3" t="n"/>
      <c r="J62" s="3" t="n">
        <v>0</v>
      </c>
      <c r="K62" s="3" t="n">
        <v>52.4</v>
      </c>
      <c r="L62" s="2">
        <f>IF((Wq_site*IF(D62="",0,1)+Wq_bio*IF(E62="",0,1)+Wq_iconic*IF(F62="",0,1)+Wq_scenic*IF(G62="",0,1)+Wq_snorkel*IF(H62="",0,1)+Wq_beach*IF(I62="",0,1))=0,"",(Wq_site*IF(D62="",0,D62)+Wq_bio*IF(E62="",0,E62)+Wq_iconic*IF(F62="",0,F62)+Wq_scenic*IF(G62="",0,G62)+Wq_snorkel*IF(H62="",0,H62)+Wq_beach*IF(I62="",0,I62))/(Wq_site*IF(D62="",0,1)+Wq_bio*IF(E62="",0,1)+Wq_iconic*IF(F62="",0,1)+Wq_scenic*IF(G62="",0,1)+Wq_snorkel*IF(H62="",0,1)+Wq_beach*IF(I62="",0,1))+MIN(WildCap,IF(J62="",0,J62)*WildBonus))</f>
        <v/>
      </c>
      <c r="M62" s="2">
        <f>IF(L62="","",ROUND(L62/(1+IF(K62="",0,K62)/120),1))</f>
        <v/>
      </c>
    </row>
    <row r="63">
      <c r="A63" s="2">
        <f>IF(M63="","",RANK(M63,$M$2:$M$69))</f>
        <v/>
      </c>
      <c r="B63" t="inlineStr">
        <is>
          <t>Floreana Island, Black beach</t>
        </is>
      </c>
      <c r="C63" t="inlineStr">
        <is>
          <t>Floreana</t>
        </is>
      </c>
      <c r="D63" s="3" t="n">
        <v>36</v>
      </c>
      <c r="E63" s="3" t="n">
        <v>30</v>
      </c>
      <c r="F63" s="3" t="n">
        <v>20</v>
      </c>
      <c r="G63" s="3" t="n">
        <v>60</v>
      </c>
      <c r="H63" s="3" t="n">
        <v>30</v>
      </c>
      <c r="I63" s="3" t="n">
        <v>40</v>
      </c>
      <c r="J63" s="3" t="n">
        <v>0</v>
      </c>
      <c r="K63" s="3" t="n">
        <v>52.4</v>
      </c>
      <c r="L63" s="2">
        <f>IF((Wq_site*IF(D63="",0,1)+Wq_bio*IF(E63="",0,1)+Wq_iconic*IF(F63="",0,1)+Wq_scenic*IF(G63="",0,1)+Wq_snorkel*IF(H63="",0,1)+Wq_beach*IF(I63="",0,1))=0,"",(Wq_site*IF(D63="",0,D63)+Wq_bio*IF(E63="",0,E63)+Wq_iconic*IF(F63="",0,F63)+Wq_scenic*IF(G63="",0,G63)+Wq_snorkel*IF(H63="",0,H63)+Wq_beach*IF(I63="",0,I63))/(Wq_site*IF(D63="",0,1)+Wq_bio*IF(E63="",0,1)+Wq_iconic*IF(F63="",0,1)+Wq_scenic*IF(G63="",0,1)+Wq_snorkel*IF(H63="",0,1)+Wq_beach*IF(I63="",0,1))+MIN(WildCap,IF(J63="",0,J63)*WildBonus))</f>
        <v/>
      </c>
      <c r="M63" s="2">
        <f>IF(L63="","",ROUND(L63/(1+IF(K63="",0,K63)/120),1))</f>
        <v/>
      </c>
    </row>
    <row r="64">
      <c r="A64" s="2">
        <f>IF(M64="","",RANK(M64,$M$2:$M$69))</f>
        <v/>
      </c>
      <c r="B64" t="inlineStr">
        <is>
          <t>Floreana Island, Post Office Bay</t>
        </is>
      </c>
      <c r="C64" t="inlineStr">
        <is>
          <t>Floreana</t>
        </is>
      </c>
      <c r="D64" s="3" t="n">
        <v>37</v>
      </c>
      <c r="E64" s="3" t="n">
        <v>24</v>
      </c>
      <c r="F64" s="3" t="n">
        <v>25</v>
      </c>
      <c r="G64" s="3" t="n">
        <v>37</v>
      </c>
      <c r="H64" s="3" t="n">
        <v>51</v>
      </c>
      <c r="I64" s="3" t="n">
        <v>49</v>
      </c>
      <c r="J64" s="3" t="n">
        <v>0</v>
      </c>
      <c r="K64" s="3" t="n">
        <v>52.4</v>
      </c>
      <c r="L64" s="2">
        <f>IF((Wq_site*IF(D64="",0,1)+Wq_bio*IF(E64="",0,1)+Wq_iconic*IF(F64="",0,1)+Wq_scenic*IF(G64="",0,1)+Wq_snorkel*IF(H64="",0,1)+Wq_beach*IF(I64="",0,1))=0,"",(Wq_site*IF(D64="",0,D64)+Wq_bio*IF(E64="",0,E64)+Wq_iconic*IF(F64="",0,F64)+Wq_scenic*IF(G64="",0,G64)+Wq_snorkel*IF(H64="",0,H64)+Wq_beach*IF(I64="",0,I64))/(Wq_site*IF(D64="",0,1)+Wq_bio*IF(E64="",0,1)+Wq_iconic*IF(F64="",0,1)+Wq_scenic*IF(G64="",0,1)+Wq_snorkel*IF(H64="",0,1)+Wq_beach*IF(I64="",0,1))+MIN(WildCap,IF(J64="",0,J64)*WildBonus))</f>
        <v/>
      </c>
      <c r="M64" s="2">
        <f>IF(L64="","",ROUND(L64/(1+IF(K64="",0,K64)/120),1))</f>
        <v/>
      </c>
    </row>
    <row r="65">
      <c r="A65" s="2">
        <f>IF(M65="","",RANK(M65,$M$2:$M$69))</f>
        <v/>
      </c>
      <c r="B65" t="inlineStr">
        <is>
          <t>San Cristóbal Island, Interpretation Centre</t>
        </is>
      </c>
      <c r="C65" t="inlineStr">
        <is>
          <t>San Cristóbal</t>
        </is>
      </c>
      <c r="D65" s="3" t="n">
        <v>35</v>
      </c>
      <c r="E65" s="3" t="n">
        <v>30</v>
      </c>
      <c r="F65" s="3" t="n"/>
      <c r="G65" s="3" t="n">
        <v>40</v>
      </c>
      <c r="H65" s="3" t="n"/>
      <c r="I65" s="3" t="n"/>
      <c r="J65" s="3" t="n">
        <v>0</v>
      </c>
      <c r="K65" s="3" t="n">
        <v>56.4</v>
      </c>
      <c r="L65" s="2">
        <f>IF((Wq_site*IF(D65="",0,1)+Wq_bio*IF(E65="",0,1)+Wq_iconic*IF(F65="",0,1)+Wq_scenic*IF(G65="",0,1)+Wq_snorkel*IF(H65="",0,1)+Wq_beach*IF(I65="",0,1))=0,"",(Wq_site*IF(D65="",0,D65)+Wq_bio*IF(E65="",0,E65)+Wq_iconic*IF(F65="",0,F65)+Wq_scenic*IF(G65="",0,G65)+Wq_snorkel*IF(H65="",0,H65)+Wq_beach*IF(I65="",0,I65))/(Wq_site*IF(D65="",0,1)+Wq_bio*IF(E65="",0,1)+Wq_iconic*IF(F65="",0,1)+Wq_scenic*IF(G65="",0,1)+Wq_snorkel*IF(H65="",0,1)+Wq_beach*IF(I65="",0,1))+MIN(WildCap,IF(J65="",0,J65)*WildBonus))</f>
        <v/>
      </c>
      <c r="M65" s="2">
        <f>IF(L65="","",ROUND(L65/(1+IF(K65="",0,K65)/120),1))</f>
        <v/>
      </c>
    </row>
    <row r="66">
      <c r="A66" s="2">
        <f>IF(M66="","",RANK(M66,$M$2:$M$69))</f>
        <v/>
      </c>
      <c r="B66" t="inlineStr">
        <is>
          <t>Baltra Island Airport</t>
        </is>
      </c>
      <c r="C66" t="inlineStr">
        <is>
          <t>Baltra Island Airport</t>
        </is>
      </c>
      <c r="D66" s="3" t="n">
        <v>28</v>
      </c>
      <c r="E66" s="3" t="n">
        <v>25</v>
      </c>
      <c r="F66" s="3" t="n">
        <v>10</v>
      </c>
      <c r="G66" s="3" t="n">
        <v>50</v>
      </c>
      <c r="H66" s="3" t="n"/>
      <c r="I66" s="3" t="n"/>
      <c r="J66" s="3" t="n">
        <v>1</v>
      </c>
      <c r="K66" s="3" t="n">
        <v>0</v>
      </c>
      <c r="L66" s="2">
        <f>IF((Wq_site*IF(D66="",0,1)+Wq_bio*IF(E66="",0,1)+Wq_iconic*IF(F66="",0,1)+Wq_scenic*IF(G66="",0,1)+Wq_snorkel*IF(H66="",0,1)+Wq_beach*IF(I66="",0,1))=0,"",(Wq_site*IF(D66="",0,D66)+Wq_bio*IF(E66="",0,E66)+Wq_iconic*IF(F66="",0,F66)+Wq_scenic*IF(G66="",0,G66)+Wq_snorkel*IF(H66="",0,H66)+Wq_beach*IF(I66="",0,I66))/(Wq_site*IF(D66="",0,1)+Wq_bio*IF(E66="",0,1)+Wq_iconic*IF(F66="",0,1)+Wq_scenic*IF(G66="",0,1)+Wq_snorkel*IF(H66="",0,1)+Wq_beach*IF(I66="",0,1))+MIN(WildCap,IF(J66="",0,J66)*WildBonus))</f>
        <v/>
      </c>
      <c r="M66" s="2">
        <f>IF(L66="","",ROUND(L66/(1+IF(K66="",0,K66)/120),1))</f>
        <v/>
      </c>
    </row>
    <row r="67">
      <c r="A67" s="2">
        <f>IF(M67="","",RANK(M67,$M$2:$M$69))</f>
        <v/>
      </c>
      <c r="B67" t="inlineStr">
        <is>
          <t>Santa Cruz Island, Whale Bay</t>
        </is>
      </c>
      <c r="C67" t="inlineStr">
        <is>
          <t>Santa Cruz</t>
        </is>
      </c>
      <c r="D67" s="3" t="n">
        <v>31</v>
      </c>
      <c r="E67" s="3" t="n">
        <v>30</v>
      </c>
      <c r="F67" s="3" t="n">
        <v>35</v>
      </c>
      <c r="G67" s="3" t="n">
        <v>30</v>
      </c>
      <c r="H67" s="3" t="n">
        <v>20</v>
      </c>
      <c r="I67" s="3" t="n">
        <v>40</v>
      </c>
      <c r="J67" s="3" t="n">
        <v>0</v>
      </c>
      <c r="K67" s="3" t="n">
        <v>12.4</v>
      </c>
      <c r="L67" s="2">
        <f>IF((Wq_site*IF(D67="",0,1)+Wq_bio*IF(E67="",0,1)+Wq_iconic*IF(F67="",0,1)+Wq_scenic*IF(G67="",0,1)+Wq_snorkel*IF(H67="",0,1)+Wq_beach*IF(I67="",0,1))=0,"",(Wq_site*IF(D67="",0,D67)+Wq_bio*IF(E67="",0,E67)+Wq_iconic*IF(F67="",0,F67)+Wq_scenic*IF(G67="",0,G67)+Wq_snorkel*IF(H67="",0,H67)+Wq_beach*IF(I67="",0,I67))/(Wq_site*IF(D67="",0,1)+Wq_bio*IF(E67="",0,1)+Wq_iconic*IF(F67="",0,1)+Wq_scenic*IF(G67="",0,1)+Wq_snorkel*IF(H67="",0,1)+Wq_beach*IF(I67="",0,1))+MIN(WildCap,IF(J67="",0,J67)*WildBonus))</f>
        <v/>
      </c>
      <c r="M67" s="2">
        <f>IF(L67="","",ROUND(L67/(1+IF(K67="",0,K67)/120),1))</f>
        <v/>
      </c>
    </row>
    <row r="68">
      <c r="A68" s="2">
        <f>IF(M68="","",RANK(M68,$M$2:$M$69))</f>
        <v/>
      </c>
      <c r="B68" t="inlineStr">
        <is>
          <t>San Cristóbal Island Airport</t>
        </is>
      </c>
      <c r="C68" t="inlineStr">
        <is>
          <t>San Cristóbal Island Airport</t>
        </is>
      </c>
      <c r="D68" s="3" t="n">
        <v>10</v>
      </c>
      <c r="E68" s="3" t="n">
        <v>10</v>
      </c>
      <c r="F68" s="3" t="n"/>
      <c r="G68" s="3" t="n">
        <v>10</v>
      </c>
      <c r="H68" s="3" t="n"/>
      <c r="I68" s="3" t="n"/>
      <c r="J68" s="3" t="n">
        <v>0</v>
      </c>
      <c r="K68" s="3" t="n">
        <v>56.4</v>
      </c>
      <c r="L68" s="2">
        <f>IF((Wq_site*IF(D68="",0,1)+Wq_bio*IF(E68="",0,1)+Wq_iconic*IF(F68="",0,1)+Wq_scenic*IF(G68="",0,1)+Wq_snorkel*IF(H68="",0,1)+Wq_beach*IF(I68="",0,1))=0,"",(Wq_site*IF(D68="",0,D68)+Wq_bio*IF(E68="",0,E68)+Wq_iconic*IF(F68="",0,F68)+Wq_scenic*IF(G68="",0,G68)+Wq_snorkel*IF(H68="",0,H68)+Wq_beach*IF(I68="",0,I68))/(Wq_site*IF(D68="",0,1)+Wq_bio*IF(E68="",0,1)+Wq_iconic*IF(F68="",0,1)+Wq_scenic*IF(G68="",0,1)+Wq_snorkel*IF(H68="",0,1)+Wq_beach*IF(I68="",0,1))+MIN(WildCap,IF(J68="",0,J68)*WildBonus))</f>
        <v/>
      </c>
      <c r="M68" s="2">
        <f>IF(L68="","",ROUND(L68/(1+IF(K68="",0,K68)/120),1))</f>
        <v/>
      </c>
    </row>
    <row r="69">
      <c r="A69" s="2">
        <f>IF(M69="","",RANK(M69,$M$2:$M$69))</f>
        <v/>
      </c>
      <c r="B69" t="inlineStr">
        <is>
          <t>Navigation / Whale watching</t>
        </is>
      </c>
      <c r="C69" t="inlineStr">
        <is>
          <t>Navigation / Whale watching</t>
        </is>
      </c>
      <c r="D69" s="3" t="n">
        <v>10</v>
      </c>
      <c r="E69" s="3" t="n">
        <v>10</v>
      </c>
      <c r="F69" s="3" t="n">
        <v>10</v>
      </c>
      <c r="G69" s="3" t="n">
        <v>10</v>
      </c>
      <c r="H69" s="3" t="n"/>
      <c r="I69" s="3" t="n"/>
      <c r="J69" s="3" t="n">
        <v>0</v>
      </c>
      <c r="K69" s="3" t="n"/>
      <c r="L69" s="2">
        <f>IF((Wq_site*IF(D69="",0,1)+Wq_bio*IF(E69="",0,1)+Wq_iconic*IF(F69="",0,1)+Wq_scenic*IF(G69="",0,1)+Wq_snorkel*IF(H69="",0,1)+Wq_beach*IF(I69="",0,1))=0,"",(Wq_site*IF(D69="",0,D69)+Wq_bio*IF(E69="",0,E69)+Wq_iconic*IF(F69="",0,F69)+Wq_scenic*IF(G69="",0,G69)+Wq_snorkel*IF(H69="",0,H69)+Wq_beach*IF(I69="",0,I69))/(Wq_site*IF(D69="",0,1)+Wq_bio*IF(E69="",0,1)+Wq_iconic*IF(F69="",0,1)+Wq_scenic*IF(G69="",0,1)+Wq_snorkel*IF(H69="",0,1)+Wq_beach*IF(I69="",0,1))+MIN(WildCap,IF(J69="",0,J69)*WildBonus))</f>
        <v/>
      </c>
      <c r="M69" s="2">
        <f>IF(L69="","",ROUND(L69/(1+IF(K69="",0,K69)/120),1))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6"/>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6" customWidth="1" min="3" max="3"/>
    <col width="13" customWidth="1" min="4" max="4"/>
    <col width="6" customWidth="1" min="5" max="5"/>
    <col width="7" customWidth="1" min="6" max="6"/>
    <col width="42" customWidth="1" min="7" max="7"/>
    <col width="15" customWidth="1" min="8" max="8"/>
    <col width="11" customWidth="1" min="9" max="9"/>
    <col width="11" customWidth="1" min="10" max="10"/>
    <col width="10" customWidth="1" min="11" max="11"/>
    <col width="10" customWidth="1" min="12" max="12"/>
    <col width="14" customWidth="1" min="13" max="13"/>
    <col width="13" customWidth="1" min="14" max="14"/>
  </cols>
  <sheetData>
    <row r="1">
      <c r="A1" s="1" t="inlineStr">
        <is>
          <t>Rank</t>
        </is>
      </c>
      <c r="B1" s="1" t="inlineStr">
        <is>
          <t>Ship</t>
        </is>
      </c>
      <c r="C1" s="1" t="inlineStr">
        <is>
          <t>Itinerary</t>
        </is>
      </c>
      <c r="D1" s="1" t="inlineStr">
        <is>
          <t>Departure Day</t>
        </is>
      </c>
      <c r="E1" s="1" t="inlineStr">
        <is>
          <t>Days</t>
        </is>
      </c>
      <c r="F1" s="1" t="inlineStr">
        <is>
          <t># Sites</t>
        </is>
      </c>
      <c r="G1" s="1" t="inlineStr">
        <is>
          <t>Visited Sites</t>
        </is>
      </c>
      <c r="H1" s="1" t="inlineStr">
        <is>
          <t>Avg Site Quality</t>
        </is>
      </c>
      <c r="I1" s="1" t="inlineStr">
        <is>
          <t>Distance nm</t>
        </is>
      </c>
      <c r="J1" s="1" t="inlineStr">
        <is>
          <t>Dist/Day nm</t>
        </is>
      </c>
      <c r="K1" s="1" t="inlineStr">
        <is>
          <t>SiteQual 01</t>
        </is>
      </c>
      <c r="L1" s="1" t="inlineStr">
        <is>
          <t>NavEff 01</t>
        </is>
      </c>
      <c r="M1" s="1" t="inlineStr">
        <is>
          <t>Itinerary Rating</t>
        </is>
      </c>
      <c r="N1" s="1" t="inlineStr">
        <is>
          <t>Scraped rating</t>
        </is>
      </c>
    </row>
    <row r="2">
      <c r="A2" s="2">
        <f>IF(M2="","",RANK(M2,$M$2:$M$256))</f>
        <v/>
      </c>
      <c r="B2" t="inlineStr">
        <is>
          <t>ANGELITO</t>
        </is>
      </c>
      <c r="C2" t="inlineStr">
        <is>
          <t>Itinerary A</t>
        </is>
      </c>
      <c r="D2" s="3" t="inlineStr">
        <is>
          <t>Sunday</t>
        </is>
      </c>
      <c r="E2" s="3" t="n">
        <v>8</v>
      </c>
      <c r="F2" t="n">
        <v>16</v>
      </c>
      <c r="G2" t="inlineStr">
        <is>
          <t>Baltra Island Airport, North Seymour Island, Sombero Chino Island, Bartolomé Island, Genovesa Island, Darwin Bay, Genovesa Island, Prince Phillip's Steps, Santiago Island, Puerto Egas, Rábida Island, Santa Cruz Island, Darwin Station - Tort</t>
        </is>
      </c>
      <c r="H2" s="3" t="n">
        <v>71.40000000000001</v>
      </c>
      <c r="I2" s="3" t="n">
        <v>309.4</v>
      </c>
      <c r="J2" s="2">
        <f>IF(OR(I2="",E2=""),"",ROUND(I2/E2,1))</f>
        <v/>
      </c>
      <c r="K2" s="2">
        <f>IFERROR(IF(H2="","",(H2-MIN($H$2:$H$256))/(MAX($H$2:$H$256)-MIN($H$2:$H$256))),"")</f>
        <v/>
      </c>
      <c r="L2" s="2">
        <f>IFERROR(IF(J2="","",(MAX($J$2:$J$256)-J2)/(MAX($J$2:$J$256)-MIN($J$2:$J$256))),"")</f>
        <v/>
      </c>
      <c r="M2" s="2">
        <f>IF(K2="","",ROUND(100*(Wit_quality*K2+Wit_nav*IF(L2="",0,L2)),1))</f>
        <v/>
      </c>
      <c r="N2" t="n">
        <v>73</v>
      </c>
    </row>
    <row r="3">
      <c r="A3" s="2">
        <f>IF(M3="","",RANK(M3,$M$2:$M$256))</f>
        <v/>
      </c>
      <c r="B3" t="inlineStr">
        <is>
          <t>Aqua</t>
        </is>
      </c>
      <c r="C3" t="inlineStr">
        <is>
          <t>A 8Days</t>
        </is>
      </c>
      <c r="D3" s="3" t="inlineStr">
        <is>
          <t>Tuesday</t>
        </is>
      </c>
      <c r="E3" s="3" t="n">
        <v>8</v>
      </c>
      <c r="F3" t="n">
        <v>13</v>
      </c>
      <c r="G3" t="inlineStr">
        <is>
          <t>Baltra Island Airport, North Seymour Island, Bartolomé Island, , Wolf Island, Darwin Island, Darwin Island, Wolf Island, Wolf Island, Isabela, Punta Vicente Roca, San Cristóbal Island, Leon Dormido, Santa Cruz Island, Los Gemelos - Highland</t>
        </is>
      </c>
      <c r="H3" s="3" t="n">
        <v>70.40000000000001</v>
      </c>
      <c r="I3" s="3" t="n">
        <v>501.1</v>
      </c>
      <c r="J3" s="2">
        <f>IF(OR(I3="",E3=""),"",ROUND(I3/E3,1))</f>
        <v/>
      </c>
      <c r="K3" s="2">
        <f>IFERROR(IF(H3="","",(H3-MIN($H$2:$H$256))/(MAX($H$2:$H$256)-MIN($H$2:$H$256))),"")</f>
        <v/>
      </c>
      <c r="L3" s="2">
        <f>IFERROR(IF(J3="","",(MAX($J$2:$J$256)-J3)/(MAX($J$2:$J$256)-MIN($J$2:$J$256))),"")</f>
        <v/>
      </c>
      <c r="M3" s="2">
        <f>IF(K3="","",ROUND(100*(Wit_quality*K3+Wit_nav*IF(L3="",0,L3)),1))</f>
        <v/>
      </c>
      <c r="N3" t="n">
        <v>75</v>
      </c>
    </row>
    <row r="4">
      <c r="A4" s="2">
        <f>IF(M4="","",RANK(M4,$M$2:$M$256))</f>
        <v/>
      </c>
      <c r="B4" t="inlineStr">
        <is>
          <t>REINA SILVIA</t>
        </is>
      </c>
      <c r="C4" t="inlineStr">
        <is>
          <t>Eastern Route</t>
        </is>
      </c>
      <c r="D4" s="3" t="inlineStr">
        <is>
          <t>Saturday</t>
        </is>
      </c>
      <c r="E4" s="3" t="n">
        <v>8</v>
      </c>
      <c r="F4" t="n">
        <v>15</v>
      </c>
      <c r="G4" t="inlineStr">
        <is>
          <t>Baltra Island Airport, Santa Cruz Island, Darwin Station - Tortoise Centre, Española Island, Gardner Bay, Española Island, Punta Suarez, San Cristóbal Island, Leon Dormido, San Cristóbal Island, Punta Pitt, Santa Fe Island, South Plaza Isla</t>
        </is>
      </c>
      <c r="H4" s="3" t="n">
        <v>70.3</v>
      </c>
      <c r="I4" s="3" t="n">
        <v>328.8</v>
      </c>
      <c r="J4" s="2">
        <f>IF(OR(I4="",E4=""),"",ROUND(I4/E4,1))</f>
        <v/>
      </c>
      <c r="K4" s="2">
        <f>IFERROR(IF(H4="","",(H4-MIN($H$2:$H$256))/(MAX($H$2:$H$256)-MIN($H$2:$H$256))),"")</f>
        <v/>
      </c>
      <c r="L4" s="2">
        <f>IFERROR(IF(J4="","",(MAX($J$2:$J$256)-J4)/(MAX($J$2:$J$256)-MIN($J$2:$J$256))),"")</f>
        <v/>
      </c>
      <c r="M4" s="2">
        <f>IF(K4="","",ROUND(100*(Wit_quality*K4+Wit_nav*IF(L4="",0,L4)),1))</f>
        <v/>
      </c>
      <c r="N4" t="n">
        <v>71</v>
      </c>
    </row>
    <row r="5">
      <c r="A5" s="2">
        <f>IF(M5="","",RANK(M5,$M$2:$M$256))</f>
        <v/>
      </c>
      <c r="B5" t="inlineStr">
        <is>
          <t>Fragata</t>
        </is>
      </c>
      <c r="C5" t="inlineStr">
        <is>
          <t>Itinerary C</t>
        </is>
      </c>
      <c r="D5" s="3" t="inlineStr">
        <is>
          <t>Friday</t>
        </is>
      </c>
      <c r="E5" s="3" t="n">
        <v>8</v>
      </c>
      <c r="F5" t="n">
        <v>16</v>
      </c>
      <c r="G5" t="inlineStr">
        <is>
          <t>Baltra Island Airport, Santa Cruz Island, Bachas Beach, Genovesa Island, Prince Phillip's Steps, Genovesa Island, Darwin Bay, Bartolomé Island, Santiago Island, Sullivan Bay, South Plaza Island, Santa Fe Island, San Cristóbal Island, Leon D</t>
        </is>
      </c>
      <c r="H5" s="3" t="n">
        <v>70</v>
      </c>
      <c r="I5" s="3" t="n">
        <v>368.1</v>
      </c>
      <c r="J5" s="2">
        <f>IF(OR(I5="",E5=""),"",ROUND(I5/E5,1))</f>
        <v/>
      </c>
      <c r="K5" s="2">
        <f>IFERROR(IF(H5="","",(H5-MIN($H$2:$H$256))/(MAX($H$2:$H$256)-MIN($H$2:$H$256))),"")</f>
        <v/>
      </c>
      <c r="L5" s="2">
        <f>IFERROR(IF(J5="","",(MAX($J$2:$J$256)-J5)/(MAX($J$2:$J$256)-MIN($J$2:$J$256))),"")</f>
        <v/>
      </c>
      <c r="M5" s="2">
        <f>IF(K5="","",ROUND(100*(Wit_quality*K5+Wit_nav*IF(L5="",0,L5)),1))</f>
        <v/>
      </c>
      <c r="N5" t="n">
        <v>70</v>
      </c>
    </row>
    <row r="6">
      <c r="A6" s="2">
        <f>IF(M6="","",RANK(M6,$M$2:$M$256))</f>
        <v/>
      </c>
      <c r="B6" t="inlineStr">
        <is>
          <t>Golondrina</t>
        </is>
      </c>
      <c r="C6" t="inlineStr">
        <is>
          <t>Itinerary C</t>
        </is>
      </c>
      <c r="D6" s="3" t="inlineStr">
        <is>
          <t>Friday</t>
        </is>
      </c>
      <c r="E6" s="3" t="n">
        <v>8</v>
      </c>
      <c r="F6" t="n">
        <v>17</v>
      </c>
      <c r="G6" t="inlineStr">
        <is>
          <t>Baltra Island Airport, Santa Cruz Island, Bachas Beach, Genovesa Island, Prince Phillip's Steps, Genovesa Island, Darwin Bay, Bartolomé Island, Santiago Island, Sullivan Bay, South Plaza Island, Santa Fe Island, San Cristóbal Island, Leon D</t>
        </is>
      </c>
      <c r="H6" s="3" t="n">
        <v>69.7</v>
      </c>
      <c r="I6" s="3" t="n">
        <v>368.1</v>
      </c>
      <c r="J6" s="2">
        <f>IF(OR(I6="",E6=""),"",ROUND(I6/E6,1))</f>
        <v/>
      </c>
      <c r="K6" s="2">
        <f>IFERROR(IF(H6="","",(H6-MIN($H$2:$H$256))/(MAX($H$2:$H$256)-MIN($H$2:$H$256))),"")</f>
        <v/>
      </c>
      <c r="L6" s="2">
        <f>IFERROR(IF(J6="","",(MAX($J$2:$J$256)-J6)/(MAX($J$2:$J$256)-MIN($J$2:$J$256))),"")</f>
        <v/>
      </c>
      <c r="M6" s="2">
        <f>IF(K6="","",ROUND(100*(Wit_quality*K6+Wit_nav*IF(L6="",0,L6)),1))</f>
        <v/>
      </c>
      <c r="N6" t="n">
        <v>70</v>
      </c>
    </row>
    <row r="7">
      <c r="A7" s="2">
        <f>IF(M7="","",RANK(M7,$M$2:$M$256))</f>
        <v/>
      </c>
      <c r="B7" t="inlineStr">
        <is>
          <t>ANAHI</t>
        </is>
      </c>
      <c r="C7" t="inlineStr">
        <is>
          <t>E1 (15 DAYS)</t>
        </is>
      </c>
      <c r="D7" s="3" t="inlineStr">
        <is>
          <t>Unknown</t>
        </is>
      </c>
      <c r="E7" s="3" t="n"/>
      <c r="F7" t="n">
        <v>30</v>
      </c>
      <c r="G7" t="inlineStr">
        <is>
          <t>Baltra Island Airport, Santa Cruz Island, Los Gemelos - Highlands, Isabela Island, Sierra Negra, Isabela Island, Wetlands, Isabela Island, Villamil Tortoise Centre, Isabela Island, Punta Moreno, Isabela Island, Elizabeth Bay, Isabela Island</t>
        </is>
      </c>
      <c r="H7" s="3" t="n">
        <v>69.59999999999999</v>
      </c>
      <c r="I7" s="3" t="n">
        <v>443.3</v>
      </c>
      <c r="J7" s="2">
        <f>IF(OR(I7="",E7=""),"",ROUND(I7/E7,1))</f>
        <v/>
      </c>
      <c r="K7" s="2">
        <f>IFERROR(IF(H7="","",(H7-MIN($H$2:$H$256))/(MAX($H$2:$H$256)-MIN($H$2:$H$256))),"")</f>
        <v/>
      </c>
      <c r="L7" s="2">
        <f>IFERROR(IF(J7="","",(MAX($J$2:$J$256)-J7)/(MAX($J$2:$J$256)-MIN($J$2:$J$256))),"")</f>
        <v/>
      </c>
      <c r="M7" s="2">
        <f>IF(K7="","",ROUND(100*(Wit_quality*K7+Wit_nav*IF(L7="",0,L7)),1))</f>
        <v/>
      </c>
      <c r="N7" t="n">
        <v>68</v>
      </c>
    </row>
    <row r="8">
      <c r="A8" s="2">
        <f>IF(M8="","",RANK(M8,$M$2:$M$256))</f>
        <v/>
      </c>
      <c r="B8" t="inlineStr">
        <is>
          <t>Infinity</t>
        </is>
      </c>
      <c r="C8" t="inlineStr">
        <is>
          <t>B 8Days</t>
        </is>
      </c>
      <c r="D8" s="3" t="inlineStr">
        <is>
          <t>Tuesday</t>
        </is>
      </c>
      <c r="E8" s="3" t="n">
        <v>8</v>
      </c>
      <c r="F8" t="n">
        <v>16</v>
      </c>
      <c r="G8" t="inlineStr">
        <is>
          <t xml:space="preserve">San Cristóbal Island Airport, South Plaza Island, Santa Fe Island, South Plaza Island, Santa Cruz Island, Darwin Station - Tortoise Centre, Santa Cruz Island, Los Gemelos - Highlands, Isabela Island, Punta Moreno, Isabela Island, Elizabeth </t>
        </is>
      </c>
      <c r="H8" s="3" t="n">
        <v>69.59999999999999</v>
      </c>
      <c r="I8" s="3" t="n">
        <v>241.4</v>
      </c>
      <c r="J8" s="2">
        <f>IF(OR(I8="",E8=""),"",ROUND(I8/E8,1))</f>
        <v/>
      </c>
      <c r="K8" s="2">
        <f>IFERROR(IF(H8="","",(H8-MIN($H$2:$H$256))/(MAX($H$2:$H$256)-MIN($H$2:$H$256))),"")</f>
        <v/>
      </c>
      <c r="L8" s="2">
        <f>IFERROR(IF(J8="","",(MAX($J$2:$J$256)-J8)/(MAX($J$2:$J$256)-MIN($J$2:$J$256))),"")</f>
        <v/>
      </c>
      <c r="M8" s="2">
        <f>IF(K8="","",ROUND(100*(Wit_quality*K8+Wit_nav*IF(L8="",0,L8)),1))</f>
        <v/>
      </c>
      <c r="N8" t="n">
        <v>72</v>
      </c>
    </row>
    <row r="9">
      <c r="A9" s="2">
        <f>IF(M9="","",RANK(M9,$M$2:$M$256))</f>
        <v/>
      </c>
      <c r="B9" t="inlineStr">
        <is>
          <t>Integrity</t>
        </is>
      </c>
      <c r="C9" t="inlineStr">
        <is>
          <t>The Eastern Route</t>
        </is>
      </c>
      <c r="D9" s="3" t="inlineStr">
        <is>
          <t>Saturday</t>
        </is>
      </c>
      <c r="E9" s="3" t="n">
        <v>8</v>
      </c>
      <c r="F9" t="n">
        <v>16</v>
      </c>
      <c r="G9" t="inlineStr">
        <is>
          <t>Baltra Island Airport, Santa Cruz Island, Los Gemelos - Highlands, Santa Cruz Island, Darwin Station - Tortoise Centre, Española Island, Gardner Bay, Española Island, Punta Suarez, San Cristóbal Island, Punta Pitt, San Cristóbal Island, Cer</t>
        </is>
      </c>
      <c r="H9" s="3" t="n">
        <v>69.59999999999999</v>
      </c>
      <c r="I9" s="3" t="n">
        <v>328.8</v>
      </c>
      <c r="J9" s="2">
        <f>IF(OR(I9="",E9=""),"",ROUND(I9/E9,1))</f>
        <v/>
      </c>
      <c r="K9" s="2">
        <f>IFERROR(IF(H9="","",(H9-MIN($H$2:$H$256))/(MAX($H$2:$H$256)-MIN($H$2:$H$256))),"")</f>
        <v/>
      </c>
      <c r="L9" s="2">
        <f>IFERROR(IF(J9="","",(MAX($J$2:$J$256)-J9)/(MAX($J$2:$J$256)-MIN($J$2:$J$256))),"")</f>
        <v/>
      </c>
      <c r="M9" s="2">
        <f>IF(K9="","",ROUND(100*(Wit_quality*K9+Wit_nav*IF(L9="",0,L9)),1))</f>
        <v/>
      </c>
      <c r="N9" t="n">
        <v>70</v>
      </c>
    </row>
    <row r="10">
      <c r="A10" s="2">
        <f>IF(M10="","",RANK(M10,$M$2:$M$256))</f>
        <v/>
      </c>
      <c r="B10" t="inlineStr">
        <is>
          <t>MARY ANNE</t>
        </is>
      </c>
      <c r="C10" t="inlineStr">
        <is>
          <t>Eastern Islands</t>
        </is>
      </c>
      <c r="D10" s="3" t="inlineStr">
        <is>
          <t>Saturday</t>
        </is>
      </c>
      <c r="E10" s="3" t="n">
        <v>8</v>
      </c>
      <c r="F10" t="n">
        <v>16</v>
      </c>
      <c r="G10" t="inlineStr">
        <is>
          <t>Baltra Island Airport, Santa Cruz Island, Black Turtle Cove, Genovesa Island, Darwin Bay, Genovesa Island, Prince Phillip's Steps, Bartolomé Island, Sombero Chino Island, Rábida Island, Santa Cruz Island, Cerro Dragon, Santa Cruz Island, Lo</t>
        </is>
      </c>
      <c r="H10" s="3" t="n">
        <v>69.3</v>
      </c>
      <c r="I10" s="3" t="n">
        <v>303.9</v>
      </c>
      <c r="J10" s="2">
        <f>IF(OR(I10="",E10=""),"",ROUND(I10/E10,1))</f>
        <v/>
      </c>
      <c r="K10" s="2">
        <f>IFERROR(IF(H10="","",(H10-MIN($H$2:$H$256))/(MAX($H$2:$H$256)-MIN($H$2:$H$256))),"")</f>
        <v/>
      </c>
      <c r="L10" s="2">
        <f>IFERROR(IF(J10="","",(MAX($J$2:$J$256)-J10)/(MAX($J$2:$J$256)-MIN($J$2:$J$256))),"")</f>
        <v/>
      </c>
      <c r="M10" s="2">
        <f>IF(K10="","",ROUND(100*(Wit_quality*K10+Wit_nav*IF(L10="",0,L10)),1))</f>
        <v/>
      </c>
      <c r="N10" t="n">
        <v>70</v>
      </c>
    </row>
    <row r="11">
      <c r="A11" s="2">
        <f>IF(M11="","",RANK(M11,$M$2:$M$256))</f>
        <v/>
      </c>
      <c r="B11" t="inlineStr">
        <is>
          <t>PASSION</t>
        </is>
      </c>
      <c r="C11" t="inlineStr">
        <is>
          <t>East</t>
        </is>
      </c>
      <c r="D11" s="3" t="inlineStr">
        <is>
          <t>Saturday</t>
        </is>
      </c>
      <c r="E11" s="3" t="n">
        <v>8</v>
      </c>
      <c r="F11" t="n">
        <v>16</v>
      </c>
      <c r="G11" t="inlineStr">
        <is>
          <t>Baltra Island Airport, Santa Cruz Island, Black Turtle Cove, Genovesa Island, Darwin Bay, Genovesa Island, Prince Phillip's Steps, Bartolomé Island, Sombero Chino Island, Rábida Island, Santa Cruz Island, Cerro Dragon, Santa Cruz Island, Lo</t>
        </is>
      </c>
      <c r="H11" s="3" t="n">
        <v>69.3</v>
      </c>
      <c r="I11" s="3" t="n">
        <v>303.9</v>
      </c>
      <c r="J11" s="2">
        <f>IF(OR(I11="",E11=""),"",ROUND(I11/E11,1))</f>
        <v/>
      </c>
      <c r="K11" s="2">
        <f>IFERROR(IF(H11="","",(H11-MIN($H$2:$H$256))/(MAX($H$2:$H$256)-MIN($H$2:$H$256))),"")</f>
        <v/>
      </c>
      <c r="L11" s="2">
        <f>IFERROR(IF(J11="","",(MAX($J$2:$J$256)-J11)/(MAX($J$2:$J$256)-MIN($J$2:$J$256))),"")</f>
        <v/>
      </c>
      <c r="M11" s="2">
        <f>IF(K11="","",ROUND(100*(Wit_quality*K11+Wit_nav*IF(L11="",0,L11)),1))</f>
        <v/>
      </c>
      <c r="N11" t="n">
        <v>70</v>
      </c>
    </row>
    <row r="12">
      <c r="A12" s="2">
        <f>IF(M12="","",RANK(M12,$M$2:$M$256))</f>
        <v/>
      </c>
      <c r="B12" t="inlineStr">
        <is>
          <t>YOLITA II</t>
        </is>
      </c>
      <c r="C12" t="inlineStr">
        <is>
          <t>Itinerary B5</t>
        </is>
      </c>
      <c r="D12" s="3" t="inlineStr">
        <is>
          <t>Sunday</t>
        </is>
      </c>
      <c r="E12" s="3" t="n">
        <v>5</v>
      </c>
      <c r="F12" t="n">
        <v>10</v>
      </c>
      <c r="G12" t="inlineStr">
        <is>
          <t xml:space="preserve">Baltra Island Airport, North Seymour Island, San Cristóbal Island, Cerro Brujo, San Cristóbal Island, Leon Dormido, Española Island, Gardner Bay, Española Island, Punta Suarez, Santa Fe Island, South Plaza Island, Santa Cruz Island, Darwin </t>
        </is>
      </c>
      <c r="H12" s="3" t="n">
        <v>69.09999999999999</v>
      </c>
      <c r="I12" s="3" t="n">
        <v>176.9</v>
      </c>
      <c r="J12" s="2">
        <f>IF(OR(I12="",E12=""),"",ROUND(I12/E12,1))</f>
        <v/>
      </c>
      <c r="K12" s="2">
        <f>IFERROR(IF(H12="","",(H12-MIN($H$2:$H$256))/(MAX($H$2:$H$256)-MIN($H$2:$H$256))),"")</f>
        <v/>
      </c>
      <c r="L12" s="2">
        <f>IFERROR(IF(J12="","",(MAX($J$2:$J$256)-J12)/(MAX($J$2:$J$256)-MIN($J$2:$J$256))),"")</f>
        <v/>
      </c>
      <c r="M12" s="2">
        <f>IF(K12="","",ROUND(100*(Wit_quality*K12+Wit_nav*IF(L12="",0,L12)),1))</f>
        <v/>
      </c>
      <c r="N12" t="n">
        <v>74</v>
      </c>
    </row>
    <row r="13">
      <c r="A13" s="2">
        <f>IF(M13="","",RANK(M13,$M$2:$M$256))</f>
        <v/>
      </c>
      <c r="B13" t="inlineStr">
        <is>
          <t>ANAHI</t>
        </is>
      </c>
      <c r="C13" t="inlineStr">
        <is>
          <t>D (12 DAYS)</t>
        </is>
      </c>
      <c r="D13" s="3" t="inlineStr">
        <is>
          <t>Unknown</t>
        </is>
      </c>
      <c r="E13" s="3" t="n"/>
      <c r="F13" t="n">
        <v>25</v>
      </c>
      <c r="G13" t="inlineStr">
        <is>
          <t>Baltra Island Airport, Santa Cruz Island, Los Gemelos - Highlands, Isabela Island, Sierra Negra, Isabela Island, Wetlands, Isabela Island, Villamil Tortoise Centre, Isabela Island, Punta Moreno, Isabela Island, Elizabeth Bay, Isabela Island</t>
        </is>
      </c>
      <c r="H13" s="3" t="n">
        <v>68.8</v>
      </c>
      <c r="I13" s="3" t="n">
        <v>360.1</v>
      </c>
      <c r="J13" s="2">
        <f>IF(OR(I13="",E13=""),"",ROUND(I13/E13,1))</f>
        <v/>
      </c>
      <c r="K13" s="2">
        <f>IFERROR(IF(H13="","",(H13-MIN($H$2:$H$256))/(MAX($H$2:$H$256)-MIN($H$2:$H$256))),"")</f>
        <v/>
      </c>
      <c r="L13" s="2">
        <f>IFERROR(IF(J13="","",(MAX($J$2:$J$256)-J13)/(MAX($J$2:$J$256)-MIN($J$2:$J$256))),"")</f>
        <v/>
      </c>
      <c r="M13" s="2">
        <f>IF(K13="","",ROUND(100*(Wit_quality*K13+Wit_nav*IF(L13="",0,L13)),1))</f>
        <v/>
      </c>
      <c r="N13" t="n">
        <v>69</v>
      </c>
    </row>
    <row r="14">
      <c r="A14" s="2">
        <f>IF(M14="","",RANK(M14,$M$2:$M$256))</f>
        <v/>
      </c>
      <c r="B14" t="inlineStr">
        <is>
          <t>ANAHI</t>
        </is>
      </c>
      <c r="C14" t="inlineStr">
        <is>
          <t>E3 (15 DAYS)</t>
        </is>
      </c>
      <c r="D14" s="3" t="inlineStr">
        <is>
          <t>Unknown</t>
        </is>
      </c>
      <c r="E14" s="3" t="n"/>
      <c r="F14" t="n">
        <v>30</v>
      </c>
      <c r="G14" t="inlineStr">
        <is>
          <t>San Cristóbal Island Airport, San Cristóbal Island, Interpretation Centre, San Cristóbal Island, Cerro Tijeretas, Española Island, Punta Suarez, Española Island, Gardner Bay, Floreana Island, Punta Cormorant - Devil`s Crown, Floreana Island</t>
        </is>
      </c>
      <c r="H14" s="3" t="n">
        <v>68.8</v>
      </c>
      <c r="I14" s="3" t="n">
        <v>471.3</v>
      </c>
      <c r="J14" s="2">
        <f>IF(OR(I14="",E14=""),"",ROUND(I14/E14,1))</f>
        <v/>
      </c>
      <c r="K14" s="2">
        <f>IFERROR(IF(H14="","",(H14-MIN($H$2:$H$256))/(MAX($H$2:$H$256)-MIN($H$2:$H$256))),"")</f>
        <v/>
      </c>
      <c r="L14" s="2">
        <f>IFERROR(IF(J14="","",(MAX($J$2:$J$256)-J14)/(MAX($J$2:$J$256)-MIN($J$2:$J$256))),"")</f>
        <v/>
      </c>
      <c r="M14" s="2">
        <f>IF(K14="","",ROUND(100*(Wit_quality*K14+Wit_nav*IF(L14="",0,L14)),1))</f>
        <v/>
      </c>
      <c r="N14" t="n">
        <v>68</v>
      </c>
    </row>
    <row r="15">
      <c r="A15" s="2">
        <f>IF(M15="","",RANK(M15,$M$2:$M$256))</f>
        <v/>
      </c>
      <c r="B15" t="inlineStr">
        <is>
          <t>LEGEND</t>
        </is>
      </c>
      <c r="C15" t="inlineStr">
        <is>
          <t>Itinerary A + B</t>
        </is>
      </c>
      <c r="D15" s="3" t="inlineStr">
        <is>
          <t>Monday</t>
        </is>
      </c>
      <c r="E15" s="3" t="n">
        <v>8</v>
      </c>
      <c r="F15" t="n">
        <v>16</v>
      </c>
      <c r="G15" t="inlineStr">
        <is>
          <t>Baltra Island Airport, Santa Cruz Island, Los Gemelos - Highlands, Genovesa Island, Prince Phillip's Steps, Genovesa Island, Darwin Bay, Santa Cruz Island, Cerro Dragon, Santa Fe Island, Santa Cruz Island, Bachas Beach, Mosquera Island, San</t>
        </is>
      </c>
      <c r="H15" s="3" t="n">
        <v>68.7</v>
      </c>
      <c r="I15" s="3" t="n">
        <v>362.4</v>
      </c>
      <c r="J15" s="2">
        <f>IF(OR(I15="",E15=""),"",ROUND(I15/E15,1))</f>
        <v/>
      </c>
      <c r="K15" s="2">
        <f>IFERROR(IF(H15="","",(H15-MIN($H$2:$H$256))/(MAX($H$2:$H$256)-MIN($H$2:$H$256))),"")</f>
        <v/>
      </c>
      <c r="L15" s="2">
        <f>IFERROR(IF(J15="","",(MAX($J$2:$J$256)-J15)/(MAX($J$2:$J$256)-MIN($J$2:$J$256))),"")</f>
        <v/>
      </c>
      <c r="M15" s="2">
        <f>IF(K15="","",ROUND(100*(Wit_quality*K15+Wit_nav*IF(L15="",0,L15)),1))</f>
        <v/>
      </c>
      <c r="N15" t="n">
        <v>69</v>
      </c>
    </row>
    <row r="16">
      <c r="A16" s="2">
        <f>IF(M16="","",RANK(M16,$M$2:$M$256))</f>
        <v/>
      </c>
      <c r="B16" t="inlineStr">
        <is>
          <t>ANAHI</t>
        </is>
      </c>
      <c r="C16" t="inlineStr">
        <is>
          <t>E2 (15 DAYS)</t>
        </is>
      </c>
      <c r="D16" s="3" t="inlineStr">
        <is>
          <t>Unknown</t>
        </is>
      </c>
      <c r="E16" s="3" t="n"/>
      <c r="F16" t="n">
        <v>30</v>
      </c>
      <c r="G16" t="inlineStr">
        <is>
          <t>Baltra Island Airport, Santa Cruz Island, Bachas Beach, Genovesa Island, Darwin Bay, Genovesa Island, Prince Phillip's Steps, South Plaza Island, Santa Fe Island, San Cristóbal Island, Punta Pitt, San Cristóbal Island, Leon Dormido, San Cri</t>
        </is>
      </c>
      <c r="H16" s="3" t="n">
        <v>68.59999999999999</v>
      </c>
      <c r="I16" s="3" t="n">
        <v>452.4</v>
      </c>
      <c r="J16" s="2">
        <f>IF(OR(I16="",E16=""),"",ROUND(I16/E16,1))</f>
        <v/>
      </c>
      <c r="K16" s="2">
        <f>IFERROR(IF(H16="","",(H16-MIN($H$2:$H$256))/(MAX($H$2:$H$256)-MIN($H$2:$H$256))),"")</f>
        <v/>
      </c>
      <c r="L16" s="2">
        <f>IFERROR(IF(J16="","",(MAX($J$2:$J$256)-J16)/(MAX($J$2:$J$256)-MIN($J$2:$J$256))),"")</f>
        <v/>
      </c>
      <c r="M16" s="2">
        <f>IF(K16="","",ROUND(100*(Wit_quality*K16+Wit_nav*IF(L16="",0,L16)),1))</f>
        <v/>
      </c>
      <c r="N16" t="n">
        <v>67</v>
      </c>
    </row>
    <row r="17">
      <c r="A17" s="2">
        <f>IF(M17="","",RANK(M17,$M$2:$M$256))</f>
        <v/>
      </c>
      <c r="B17" t="inlineStr">
        <is>
          <t>Estrella de Mar</t>
        </is>
      </c>
      <c r="C17" t="inlineStr">
        <is>
          <t>Itinerary B</t>
        </is>
      </c>
      <c r="D17" s="3" t="inlineStr">
        <is>
          <t>Monday</t>
        </is>
      </c>
      <c r="E17" s="3" t="n">
        <v>8</v>
      </c>
      <c r="F17" t="n">
        <v>17</v>
      </c>
      <c r="G17" t="inlineStr">
        <is>
          <t>San Cristóbal Island Airport, San Cristóbal Island, Lobos Island, San Cristóbal Island, Punta Pitt, San Cristóbal Island, Leon Dormido, San Cristóbal Island, Cerro Brujo, Española Island, Gardner Bay, Española Island, Punta Suarez, Floreana</t>
        </is>
      </c>
      <c r="H17" s="3" t="n">
        <v>68.59999999999999</v>
      </c>
      <c r="I17" s="3" t="n">
        <v>310.8</v>
      </c>
      <c r="J17" s="2">
        <f>IF(OR(I17="",E17=""),"",ROUND(I17/E17,1))</f>
        <v/>
      </c>
      <c r="K17" s="2">
        <f>IFERROR(IF(H17="","",(H17-MIN($H$2:$H$256))/(MAX($H$2:$H$256)-MIN($H$2:$H$256))),"")</f>
        <v/>
      </c>
      <c r="L17" s="2">
        <f>IFERROR(IF(J17="","",(MAX($J$2:$J$256)-J17)/(MAX($J$2:$J$256)-MIN($J$2:$J$256))),"")</f>
        <v/>
      </c>
      <c r="M17" s="2">
        <f>IF(K17="","",ROUND(100*(Wit_quality*K17+Wit_nav*IF(L17="",0,L17)),1))</f>
        <v/>
      </c>
      <c r="N17" t="n">
        <v>70</v>
      </c>
    </row>
    <row r="18">
      <c r="A18" s="2">
        <f>IF(M18="","",RANK(M18,$M$2:$M$256))</f>
        <v/>
      </c>
      <c r="B18" t="inlineStr">
        <is>
          <t>NEMO I</t>
        </is>
      </c>
      <c r="C18" t="inlineStr">
        <is>
          <t>B4 + A4 (7 Days)</t>
        </is>
      </c>
      <c r="D18" s="3" t="inlineStr">
        <is>
          <t>Friday</t>
        </is>
      </c>
      <c r="E18" s="3" t="n">
        <v>7</v>
      </c>
      <c r="F18" t="n">
        <v>14</v>
      </c>
      <c r="G18" t="inlineStr">
        <is>
          <t>Baltra Island Airport, Santa Cruz Island, Darwin Station - Tortoise Centre, San Cristóbal Island, Punta Pitt, San Cristóbal Island, Cerro Brujo, Santa Fe Island, South Plaza Island, Santa Cruz Island, Black Turtle Cove, North Seymour Island</t>
        </is>
      </c>
      <c r="H18" s="3" t="n">
        <v>68.3</v>
      </c>
      <c r="I18" s="3" t="n">
        <v>285.7</v>
      </c>
      <c r="J18" s="2">
        <f>IF(OR(I18="",E18=""),"",ROUND(I18/E18,1))</f>
        <v/>
      </c>
      <c r="K18" s="2">
        <f>IFERROR(IF(H18="","",(H18-MIN($H$2:$H$256))/(MAX($H$2:$H$256)-MIN($H$2:$H$256))),"")</f>
        <v/>
      </c>
      <c r="L18" s="2">
        <f>IFERROR(IF(J18="","",(MAX($J$2:$J$256)-J18)/(MAX($J$2:$J$256)-MIN($J$2:$J$256))),"")</f>
        <v/>
      </c>
      <c r="M18" s="2">
        <f>IF(K18="","",ROUND(100*(Wit_quality*K18+Wit_nav*IF(L18="",0,L18)),1))</f>
        <v/>
      </c>
      <c r="N18" t="n">
        <v>70</v>
      </c>
    </row>
    <row r="19">
      <c r="A19" s="2">
        <f>IF(M19="","",RANK(M19,$M$2:$M$256))</f>
        <v/>
      </c>
      <c r="B19" t="inlineStr">
        <is>
          <t>Solaris</t>
        </is>
      </c>
      <c r="C19" t="inlineStr">
        <is>
          <t>itinerary B 8Days</t>
        </is>
      </c>
      <c r="D19" s="3" t="inlineStr">
        <is>
          <t>Tuesday</t>
        </is>
      </c>
      <c r="E19" s="3" t="n">
        <v>8</v>
      </c>
      <c r="F19" t="n">
        <v>16</v>
      </c>
      <c r="G19" t="inlineStr">
        <is>
          <t>Baltra Island Airport, Mosquera Island, Genovesa Island, Darwin Bay, Genovesa Island, Prince Phillip's Steps, South Plaza Island, Santa Fe Island, San Cristóbal Island, Leon Dormido, San Cristóbal Island, Interpretation Centre, Española Isl</t>
        </is>
      </c>
      <c r="H19" s="3" t="n">
        <v>68.3</v>
      </c>
      <c r="I19" s="3" t="n">
        <v>364.1</v>
      </c>
      <c r="J19" s="2">
        <f>IF(OR(I19="",E19=""),"",ROUND(I19/E19,1))</f>
        <v/>
      </c>
      <c r="K19" s="2">
        <f>IFERROR(IF(H19="","",(H19-MIN($H$2:$H$256))/(MAX($H$2:$H$256)-MIN($H$2:$H$256))),"")</f>
        <v/>
      </c>
      <c r="L19" s="2">
        <f>IFERROR(IF(J19="","",(MAX($J$2:$J$256)-J19)/(MAX($J$2:$J$256)-MIN($J$2:$J$256))),"")</f>
        <v/>
      </c>
      <c r="M19" s="2">
        <f>IF(K19="","",ROUND(100*(Wit_quality*K19+Wit_nav*IF(L19="",0,L19)),1))</f>
        <v/>
      </c>
      <c r="N19" t="n">
        <v>67</v>
      </c>
    </row>
    <row r="20">
      <c r="A20" s="2">
        <f>IF(M20="","",RANK(M20,$M$2:$M$256))</f>
        <v/>
      </c>
      <c r="B20" t="inlineStr">
        <is>
          <t>NEMO I</t>
        </is>
      </c>
      <c r="C20" t="inlineStr">
        <is>
          <t>Itinerary A</t>
        </is>
      </c>
      <c r="D20" s="3" t="inlineStr">
        <is>
          <t>Monday</t>
        </is>
      </c>
      <c r="E20" s="3" t="n">
        <v>8</v>
      </c>
      <c r="F20" t="n">
        <v>16</v>
      </c>
      <c r="G20" t="inlineStr">
        <is>
          <t>Baltra Island Airport, North Seymour Island, Genovesa Island, Darwin Bay, Genovesa Island, Prince Phillip's Steps, Bartolomé Island, Sombero Chino Island, Santa Cruz Island, El Chato, Santa Cruz Island, Darwin Station - Tortoise Centre, Isa</t>
        </is>
      </c>
      <c r="H20" s="3" t="n">
        <v>68.09999999999999</v>
      </c>
      <c r="I20" s="3" t="n">
        <v>277.9</v>
      </c>
      <c r="J20" s="2">
        <f>IF(OR(I20="",E20=""),"",ROUND(I20/E20,1))</f>
        <v/>
      </c>
      <c r="K20" s="2">
        <f>IFERROR(IF(H20="","",(H20-MIN($H$2:$H$256))/(MAX($H$2:$H$256)-MIN($H$2:$H$256))),"")</f>
        <v/>
      </c>
      <c r="L20" s="2">
        <f>IFERROR(IF(J20="","",(MAX($J$2:$J$256)-J20)/(MAX($J$2:$J$256)-MIN($J$2:$J$256))),"")</f>
        <v/>
      </c>
      <c r="M20" s="2">
        <f>IF(K20="","",ROUND(100*(Wit_quality*K20+Wit_nav*IF(L20="",0,L20)),1))</f>
        <v/>
      </c>
      <c r="N20" t="n">
        <v>70</v>
      </c>
    </row>
    <row r="21">
      <c r="A21" s="2">
        <f>IF(M21="","",RANK(M21,$M$2:$M$256))</f>
        <v/>
      </c>
      <c r="B21" t="inlineStr">
        <is>
          <t>Estrella de Mar</t>
        </is>
      </c>
      <c r="C21" t="inlineStr">
        <is>
          <t>Itinerary B4</t>
        </is>
      </c>
      <c r="D21" s="3" t="inlineStr">
        <is>
          <t>Friday</t>
        </is>
      </c>
      <c r="E21" s="3" t="n">
        <v>4</v>
      </c>
      <c r="F21" t="n">
        <v>8</v>
      </c>
      <c r="G21" t="inlineStr">
        <is>
          <t>Baltra Island Airport, Bartolomé Island, Genovesa Island, Darwin Bay, Genovesa Island, Prince Phillip's Steps, South Plaza Island, Santa Fe Island, Santa Cruz Island, El Chato, Baltra Island Airport</t>
        </is>
      </c>
      <c r="H21" s="3" t="n">
        <v>68</v>
      </c>
      <c r="I21" s="3" t="n">
        <v>174.6</v>
      </c>
      <c r="J21" s="2">
        <f>IF(OR(I21="",E21=""),"",ROUND(I21/E21,1))</f>
        <v/>
      </c>
      <c r="K21" s="2">
        <f>IFERROR(IF(H21="","",(H21-MIN($H$2:$H$256))/(MAX($H$2:$H$256)-MIN($H$2:$H$256))),"")</f>
        <v/>
      </c>
      <c r="L21" s="2">
        <f>IFERROR(IF(J21="","",(MAX($J$2:$J$256)-J21)/(MAX($J$2:$J$256)-MIN($J$2:$J$256))),"")</f>
        <v/>
      </c>
      <c r="M21" s="2">
        <f>IF(K21="","",ROUND(100*(Wit_quality*K21+Wit_nav*IF(L21="",0,L21)),1))</f>
        <v/>
      </c>
      <c r="N21" t="n">
        <v>75</v>
      </c>
    </row>
    <row r="22">
      <c r="A22" s="2">
        <f>IF(M22="","",RANK(M22,$M$2:$M$256))</f>
        <v/>
      </c>
      <c r="B22" t="inlineStr">
        <is>
          <t>AIDA MARIA</t>
        </is>
      </c>
      <c r="C22" t="inlineStr">
        <is>
          <t>Itinerary F</t>
        </is>
      </c>
      <c r="D22" s="3" t="inlineStr">
        <is>
          <t>Tuesday</t>
        </is>
      </c>
      <c r="E22" s="3" t="n">
        <v>6</v>
      </c>
      <c r="F22" t="n">
        <v>13</v>
      </c>
      <c r="G22" t="inlineStr">
        <is>
          <t>Baltra Island Airport, Santa Cruz Island, Los Gemelos - Highlands, Isabela Island, Sierra Negra, Isabela Island, Concha de Perla, Isabela Island, Villamil Beach, Isabela Island, Punta Moreno, Isabela Island, Elizabeth Bay, Fernandina Island</t>
        </is>
      </c>
      <c r="H22" s="3" t="n">
        <v>67.8</v>
      </c>
      <c r="I22" s="3" t="n">
        <v>171.3</v>
      </c>
      <c r="J22" s="2">
        <f>IF(OR(I22="",E22=""),"",ROUND(I22/E22,1))</f>
        <v/>
      </c>
      <c r="K22" s="2">
        <f>IFERROR(IF(H22="","",(H22-MIN($H$2:$H$256))/(MAX($H$2:$H$256)-MIN($H$2:$H$256))),"")</f>
        <v/>
      </c>
      <c r="L22" s="2">
        <f>IFERROR(IF(J22="","",(MAX($J$2:$J$256)-J22)/(MAX($J$2:$J$256)-MIN($J$2:$J$256))),"")</f>
        <v/>
      </c>
      <c r="M22" s="2">
        <f>IF(K22="","",ROUND(100*(Wit_quality*K22+Wit_nav*IF(L22="",0,L22)),1))</f>
        <v/>
      </c>
      <c r="N22" t="n">
        <v>71</v>
      </c>
    </row>
    <row r="23">
      <c r="A23" s="2">
        <f>IF(M23="","",RANK(M23,$M$2:$M$256))</f>
        <v/>
      </c>
      <c r="B23" t="inlineStr">
        <is>
          <t>Camila</t>
        </is>
      </c>
      <c r="C23" t="inlineStr">
        <is>
          <t>B 8Days</t>
        </is>
      </c>
      <c r="D23" s="3" t="inlineStr">
        <is>
          <t>Saturday</t>
        </is>
      </c>
      <c r="E23" s="3" t="n">
        <v>8</v>
      </c>
      <c r="F23" t="n">
        <v>16</v>
      </c>
      <c r="G23" t="inlineStr">
        <is>
          <t>San Cristóbal Island Airport, San Cristóbal Island, Lobos Island, San Cristóbal Island, Punta Pitt, San Cristóbal Island, Cerro Brujo, Española Island, Punta Suarez, Española Island, Gardner Bay, Santa Cruz Island, Bachas Beach, Bartolomé I</t>
        </is>
      </c>
      <c r="H23" s="3" t="n">
        <v>67.8</v>
      </c>
      <c r="I23" s="3" t="n">
        <v>279</v>
      </c>
      <c r="J23" s="2">
        <f>IF(OR(I23="",E23=""),"",ROUND(I23/E23,1))</f>
        <v/>
      </c>
      <c r="K23" s="2">
        <f>IFERROR(IF(H23="","",(H23-MIN($H$2:$H$256))/(MAX($H$2:$H$256)-MIN($H$2:$H$256))),"")</f>
        <v/>
      </c>
      <c r="L23" s="2">
        <f>IFERROR(IF(J23="","",(MAX($J$2:$J$256)-J23)/(MAX($J$2:$J$256)-MIN($J$2:$J$256))),"")</f>
        <v/>
      </c>
      <c r="M23" s="2">
        <f>IF(K23="","",ROUND(100*(Wit_quality*K23+Wit_nav*IF(L23="",0,L23)),1))</f>
        <v/>
      </c>
      <c r="N23" t="n">
        <v>70</v>
      </c>
    </row>
    <row r="24">
      <c r="A24" s="2">
        <f>IF(M24="","",RANK(M24,$M$2:$M$256))</f>
        <v/>
      </c>
      <c r="B24" t="inlineStr">
        <is>
          <t>Cormorant</t>
        </is>
      </c>
      <c r="C24" t="inlineStr">
        <is>
          <t>Itinerary B</t>
        </is>
      </c>
      <c r="D24" s="3" t="inlineStr">
        <is>
          <t>Saturday</t>
        </is>
      </c>
      <c r="E24" s="3" t="n">
        <v>8</v>
      </c>
      <c r="F24" t="n">
        <v>18</v>
      </c>
      <c r="G24" t="inlineStr">
        <is>
          <t>Baltra Island Airport, Santa Cruz Island, Los Gemelos - Highlands, Isabela Island, Tintorera, Isabela Island, Sierra Negra, Isabela Island, Wetlands, Isabela Island, Villamil Tortoise Centre, Isabela Island, Punta Moreno, Isabela Island, El</t>
        </is>
      </c>
      <c r="H24" s="3" t="n">
        <v>67.8</v>
      </c>
      <c r="I24" s="3" t="n">
        <v>291.3</v>
      </c>
      <c r="J24" s="2">
        <f>IF(OR(I24="",E24=""),"",ROUND(I24/E24,1))</f>
        <v/>
      </c>
      <c r="K24" s="2">
        <f>IFERROR(IF(H24="","",(H24-MIN($H$2:$H$256))/(MAX($H$2:$H$256)-MIN($H$2:$H$256))),"")</f>
        <v/>
      </c>
      <c r="L24" s="2">
        <f>IFERROR(IF(J24="","",(MAX($J$2:$J$256)-J24)/(MAX($J$2:$J$256)-MIN($J$2:$J$256))),"")</f>
        <v/>
      </c>
      <c r="M24" s="2">
        <f>IF(K24="","",ROUND(100*(Wit_quality*K24+Wit_nav*IF(L24="",0,L24)),1))</f>
        <v/>
      </c>
      <c r="N24" t="n">
        <v>69</v>
      </c>
    </row>
    <row r="25">
      <c r="A25" s="2">
        <f>IF(M25="","",RANK(M25,$M$2:$M$256))</f>
        <v/>
      </c>
      <c r="B25" t="inlineStr">
        <is>
          <t>BELUGA</t>
        </is>
      </c>
      <c r="C25" t="inlineStr">
        <is>
          <t>Tower</t>
        </is>
      </c>
      <c r="D25" s="3" t="inlineStr">
        <is>
          <t>Friday</t>
        </is>
      </c>
      <c r="E25" s="3" t="n">
        <v>8</v>
      </c>
      <c r="F25" t="n">
        <v>17</v>
      </c>
      <c r="G25" t="inlineStr">
        <is>
          <t>Baltra Island Airport, Santa Cruz Island, Cerro Dragon, Santa Fe Island, South Plaza Island, San Cristóbal Island, Cerro Brujo, San Cristóbal Island, Leon Dormido, San Cristóbal Island, El Junco, Española Island, Gardner Bay, Española Islan</t>
        </is>
      </c>
      <c r="H25" s="3" t="n">
        <v>67.7</v>
      </c>
      <c r="I25" s="3" t="n">
        <v>357.5</v>
      </c>
      <c r="J25" s="2">
        <f>IF(OR(I25="",E25=""),"",ROUND(I25/E25,1))</f>
        <v/>
      </c>
      <c r="K25" s="2">
        <f>IFERROR(IF(H25="","",(H25-MIN($H$2:$H$256))/(MAX($H$2:$H$256)-MIN($H$2:$H$256))),"")</f>
        <v/>
      </c>
      <c r="L25" s="2">
        <f>IFERROR(IF(J25="","",(MAX($J$2:$J$256)-J25)/(MAX($J$2:$J$256)-MIN($J$2:$J$256))),"")</f>
        <v/>
      </c>
      <c r="M25" s="2">
        <f>IF(K25="","",ROUND(100*(Wit_quality*K25+Wit_nav*IF(L25="",0,L25)),1))</f>
        <v/>
      </c>
      <c r="N25" t="n">
        <v>68</v>
      </c>
    </row>
    <row r="26">
      <c r="A26" s="2">
        <f>IF(M26="","",RANK(M26,$M$2:$M$256))</f>
        <v/>
      </c>
      <c r="B26" t="inlineStr">
        <is>
          <t>TIP TOP IV</t>
        </is>
      </c>
      <c r="C26" t="inlineStr">
        <is>
          <t>Itinerary 1</t>
        </is>
      </c>
      <c r="D26" s="3" t="inlineStr">
        <is>
          <t>Friday</t>
        </is>
      </c>
      <c r="E26" s="3" t="n">
        <v>8</v>
      </c>
      <c r="F26" t="n">
        <v>16</v>
      </c>
      <c r="G26" t="inlineStr">
        <is>
          <t>Baltra Island Airport, North Seymour Island, Genovesa Island, Darwin Bay, Genovesa Island, Prince Phillip's Steps, Santiago Island, Espumilla Beach, Santiago Island, Buccaneer Cove, Isabela, Punta Vicente Roca, Fernandina Island, Punta Espi</t>
        </is>
      </c>
      <c r="H26" s="3" t="n">
        <v>67.7</v>
      </c>
      <c r="I26" s="3" t="n">
        <v>300.9</v>
      </c>
      <c r="J26" s="2">
        <f>IF(OR(I26="",E26=""),"",ROUND(I26/E26,1))</f>
        <v/>
      </c>
      <c r="K26" s="2">
        <f>IFERROR(IF(H26="","",(H26-MIN($H$2:$H$256))/(MAX($H$2:$H$256)-MIN($H$2:$H$256))),"")</f>
        <v/>
      </c>
      <c r="L26" s="2">
        <f>IFERROR(IF(J26="","",(MAX($J$2:$J$256)-J26)/(MAX($J$2:$J$256)-MIN($J$2:$J$256))),"")</f>
        <v/>
      </c>
      <c r="M26" s="2">
        <f>IF(K26="","",ROUND(100*(Wit_quality*K26+Wit_nav*IF(L26="",0,L26)),1))</f>
        <v/>
      </c>
      <c r="N26" t="n">
        <v>68</v>
      </c>
    </row>
    <row r="27">
      <c r="A27" s="2">
        <f>IF(M27="","",RANK(M27,$M$2:$M$256))</f>
        <v/>
      </c>
      <c r="B27" t="inlineStr">
        <is>
          <t>ANGELITO</t>
        </is>
      </c>
      <c r="C27" t="inlineStr">
        <is>
          <t>Itinerary A4</t>
        </is>
      </c>
      <c r="D27" s="3" t="inlineStr">
        <is>
          <t>Thursday</t>
        </is>
      </c>
      <c r="E27" s="3" t="n">
        <v>4</v>
      </c>
      <c r="F27" t="n">
        <v>8</v>
      </c>
      <c r="G27" t="inlineStr">
        <is>
          <t>Baltra Island Airport, Santa Cruz Island, Los Gemelos - Highlands, Española Island, Punta Suarez, Española Island, Gardner Bay, Santa Fe Island, South Plaza Island, Santa Cruz Island, Black Turtle Cove, Baltra Island Airport</t>
        </is>
      </c>
      <c r="H27" s="3" t="n">
        <v>67.59999999999999</v>
      </c>
      <c r="I27" s="3" t="n">
        <v>153.1</v>
      </c>
      <c r="J27" s="2">
        <f>IF(OR(I27="",E27=""),"",ROUND(I27/E27,1))</f>
        <v/>
      </c>
      <c r="K27" s="2">
        <f>IFERROR(IF(H27="","",(H27-MIN($H$2:$H$256))/(MAX($H$2:$H$256)-MIN($H$2:$H$256))),"")</f>
        <v/>
      </c>
      <c r="L27" s="2">
        <f>IFERROR(IF(J27="","",(MAX($J$2:$J$256)-J27)/(MAX($J$2:$J$256)-MIN($J$2:$J$256))),"")</f>
        <v/>
      </c>
      <c r="M27" s="2">
        <f>IF(K27="","",ROUND(100*(Wit_quality*K27+Wit_nav*IF(L27="",0,L27)),1))</f>
        <v/>
      </c>
      <c r="N27" t="n">
        <v>76</v>
      </c>
    </row>
    <row r="28">
      <c r="A28" s="2">
        <f>IF(M28="","",RANK(M28,$M$2:$M$256))</f>
        <v/>
      </c>
      <c r="B28" t="inlineStr">
        <is>
          <t>OCEAN SPRAY</t>
        </is>
      </c>
      <c r="C28" t="inlineStr">
        <is>
          <t>Itinerary A</t>
        </is>
      </c>
      <c r="D28" s="3" t="inlineStr">
        <is>
          <t>Saturday</t>
        </is>
      </c>
      <c r="E28" s="3" t="n">
        <v>8</v>
      </c>
      <c r="F28" t="n">
        <v>17</v>
      </c>
      <c r="G28" t="inlineStr">
        <is>
          <t>Baltra Island Airport, Sombero Chino Island, Isabela, Punta Vicente Roca, Fernandina Island, Punta Espinoza, Isabela Island, Tagus Cove, Isabela Island, Urbina Bay, Isabela Island, Elizabeth Bay, Isabela Island, Punta Moreno, Santa Cruz Isl</t>
        </is>
      </c>
      <c r="H28" s="3" t="n">
        <v>67.40000000000001</v>
      </c>
      <c r="I28" s="3" t="n">
        <v>252.5</v>
      </c>
      <c r="J28" s="2">
        <f>IF(OR(I28="",E28=""),"",ROUND(I28/E28,1))</f>
        <v/>
      </c>
      <c r="K28" s="2">
        <f>IFERROR(IF(H28="","",(H28-MIN($H$2:$H$256))/(MAX($H$2:$H$256)-MIN($H$2:$H$256))),"")</f>
        <v/>
      </c>
      <c r="L28" s="2">
        <f>IFERROR(IF(J28="","",(MAX($J$2:$J$256)-J28)/(MAX($J$2:$J$256)-MIN($J$2:$J$256))),"")</f>
        <v/>
      </c>
      <c r="M28" s="2">
        <f>IF(K28="","",ROUND(100*(Wit_quality*K28+Wit_nav*IF(L28="",0,L28)),1))</f>
        <v/>
      </c>
      <c r="N28" t="n">
        <v>70</v>
      </c>
    </row>
    <row r="29">
      <c r="A29" s="2">
        <f>IF(M29="","",RANK(M29,$M$2:$M$256))</f>
        <v/>
      </c>
      <c r="B29" t="inlineStr">
        <is>
          <t>XPERIENCE</t>
        </is>
      </c>
      <c r="C29" t="inlineStr">
        <is>
          <t>Northern Itinerary</t>
        </is>
      </c>
      <c r="D29" s="3" t="inlineStr">
        <is>
          <t>Saturday</t>
        </is>
      </c>
      <c r="E29" s="3" t="n">
        <v>8</v>
      </c>
      <c r="F29" t="n">
        <v>16</v>
      </c>
      <c r="G29" t="inlineStr">
        <is>
          <t>Baltra Island Airport, Santa Cruz Island, Black Turtle Cove, Rábida Island, Santiago Island, Puerto Egas, Isabela Island, Tagus Cove, Fernandina Island, Punta Espinoza, Isabela Island, Urbina Bay, Isabela, Punta Vicente Roca, Bartolomé Isla</t>
        </is>
      </c>
      <c r="H29" s="3" t="n">
        <v>67.3</v>
      </c>
      <c r="I29" s="3" t="n">
        <v>316.8</v>
      </c>
      <c r="J29" s="2">
        <f>IF(OR(I29="",E29=""),"",ROUND(I29/E29,1))</f>
        <v/>
      </c>
      <c r="K29" s="2">
        <f>IFERROR(IF(H29="","",(H29-MIN($H$2:$H$256))/(MAX($H$2:$H$256)-MIN($H$2:$H$256))),"")</f>
        <v/>
      </c>
      <c r="L29" s="2">
        <f>IFERROR(IF(J29="","",(MAX($J$2:$J$256)-J29)/(MAX($J$2:$J$256)-MIN($J$2:$J$256))),"")</f>
        <v/>
      </c>
      <c r="M29" s="2">
        <f>IF(K29="","",ROUND(100*(Wit_quality*K29+Wit_nav*IF(L29="",0,L29)),1))</f>
        <v/>
      </c>
      <c r="N29" t="n">
        <v>69</v>
      </c>
    </row>
    <row r="30">
      <c r="A30" s="2">
        <f>IF(M30="","",RANK(M30,$M$2:$M$256))</f>
        <v/>
      </c>
      <c r="B30" t="inlineStr">
        <is>
          <t>XPLORATION</t>
        </is>
      </c>
      <c r="C30" t="inlineStr">
        <is>
          <t>Northern Itinerary</t>
        </is>
      </c>
      <c r="D30" s="3" t="inlineStr">
        <is>
          <t>Saturday</t>
        </is>
      </c>
      <c r="E30" s="3" t="n">
        <v>8</v>
      </c>
      <c r="F30" t="n">
        <v>16</v>
      </c>
      <c r="G30" t="inlineStr">
        <is>
          <t>Baltra Island Airport, Santa Cruz Island, Black Turtle Cove, Rábida Island, Santiago Island, Puerto Egas, Isabela Island, Tagus Cove, Fernandina Island, Punta Espinoza, Isabela Island, Urbina Bay, Isabela, Punta Vicente Roca, Bartolomé Isla</t>
        </is>
      </c>
      <c r="H30" s="3" t="n">
        <v>67.3</v>
      </c>
      <c r="I30" s="3" t="n">
        <v>316.8</v>
      </c>
      <c r="J30" s="2">
        <f>IF(OR(I30="",E30=""),"",ROUND(I30/E30,1))</f>
        <v/>
      </c>
      <c r="K30" s="2">
        <f>IFERROR(IF(H30="","",(H30-MIN($H$2:$H$256))/(MAX($H$2:$H$256)-MIN($H$2:$H$256))),"")</f>
        <v/>
      </c>
      <c r="L30" s="2">
        <f>IFERROR(IF(J30="","",(MAX($J$2:$J$256)-J30)/(MAX($J$2:$J$256)-MIN($J$2:$J$256))),"")</f>
        <v/>
      </c>
      <c r="M30" s="2">
        <f>IF(K30="","",ROUND(100*(Wit_quality*K30+Wit_nav*IF(L30="",0,L30)),1))</f>
        <v/>
      </c>
      <c r="N30" t="n">
        <v>69</v>
      </c>
    </row>
    <row r="31">
      <c r="A31" s="2">
        <f>IF(M31="","",RANK(M31,$M$2:$M$256))</f>
        <v/>
      </c>
      <c r="B31" t="inlineStr">
        <is>
          <t>ALYA</t>
        </is>
      </c>
      <c r="C31" t="inlineStr">
        <is>
          <t>Itinerary A</t>
        </is>
      </c>
      <c r="D31" s="3" t="inlineStr">
        <is>
          <t>Tuesday</t>
        </is>
      </c>
      <c r="E31" s="3" t="n">
        <v>8</v>
      </c>
      <c r="F31" t="n">
        <v>16</v>
      </c>
      <c r="G31" t="inlineStr">
        <is>
          <t xml:space="preserve">San Cristóbal Island Airport, San Cristóbal Island, Leon Dormido, San Cristóbal Island, Cerro Brujo, San Cristóbal Island, Punta Pitt, Española Island, Punta Suarez, Española Island, Gardner Bay, Santa Cruz Island, Los Gemelos - Highlands, </t>
        </is>
      </c>
      <c r="H31" s="3" t="n">
        <v>67.2</v>
      </c>
      <c r="I31" s="3" t="n">
        <v>264.5</v>
      </c>
      <c r="J31" s="2">
        <f>IF(OR(I31="",E31=""),"",ROUND(I31/E31,1))</f>
        <v/>
      </c>
      <c r="K31" s="2">
        <f>IFERROR(IF(H31="","",(H31-MIN($H$2:$H$256))/(MAX($H$2:$H$256)-MIN($H$2:$H$256))),"")</f>
        <v/>
      </c>
      <c r="L31" s="2">
        <f>IFERROR(IF(J31="","",(MAX($J$2:$J$256)-J31)/(MAX($J$2:$J$256)-MIN($J$2:$J$256))),"")</f>
        <v/>
      </c>
      <c r="M31" s="2">
        <f>IF(K31="","",ROUND(100*(Wit_quality*K31+Wit_nav*IF(L31="",0,L31)),1))</f>
        <v/>
      </c>
      <c r="N31" t="n">
        <v>69</v>
      </c>
    </row>
    <row r="32">
      <c r="A32" s="2">
        <f>IF(M32="","",RANK(M32,$M$2:$M$256))</f>
        <v/>
      </c>
      <c r="B32" t="inlineStr">
        <is>
          <t>ISABELA II</t>
        </is>
      </c>
      <c r="C32" t="inlineStr">
        <is>
          <t>Northern Islands</t>
        </is>
      </c>
      <c r="D32" s="3" t="inlineStr">
        <is>
          <t>Tuesday</t>
        </is>
      </c>
      <c r="E32" s="3" t="n">
        <v>7</v>
      </c>
      <c r="F32" t="n">
        <v>13</v>
      </c>
      <c r="G32" t="inlineStr">
        <is>
          <t>San Cristóbal Island Airport, San Cristóbal Island, Cerro Colorado, Genovesa Island, Prince Phillip's Steps, Genovesa Island, Darwin Bay, Santiago Island, Buccaneer Cove, Santiago Island, Puerto Egas, Fernandina Island, Punta Espinoza, Isab</t>
        </is>
      </c>
      <c r="H32" s="3" t="n">
        <v>67.2</v>
      </c>
      <c r="I32" s="3" t="n">
        <v>268.2</v>
      </c>
      <c r="J32" s="2">
        <f>IF(OR(I32="",E32=""),"",ROUND(I32/E32,1))</f>
        <v/>
      </c>
      <c r="K32" s="2">
        <f>IFERROR(IF(H32="","",(H32-MIN($H$2:$H$256))/(MAX($H$2:$H$256)-MIN($H$2:$H$256))),"")</f>
        <v/>
      </c>
      <c r="L32" s="2">
        <f>IFERROR(IF(J32="","",(MAX($J$2:$J$256)-J32)/(MAX($J$2:$J$256)-MIN($J$2:$J$256))),"")</f>
        <v/>
      </c>
      <c r="M32" s="2">
        <f>IF(K32="","",ROUND(100*(Wit_quality*K32+Wit_nav*IF(L32="",0,L32)),1))</f>
        <v/>
      </c>
      <c r="N32" t="n">
        <v>70</v>
      </c>
    </row>
    <row r="33">
      <c r="A33" s="2">
        <f>IF(M33="","",RANK(M33,$M$2:$M$256))</f>
        <v/>
      </c>
      <c r="B33" t="inlineStr">
        <is>
          <t>OCEAN SPRAY</t>
        </is>
      </c>
      <c r="C33" t="inlineStr">
        <is>
          <t>Itinerary A6</t>
        </is>
      </c>
      <c r="D33" s="3" t="inlineStr">
        <is>
          <t>Saturday</t>
        </is>
      </c>
      <c r="E33" s="3" t="n">
        <v>6</v>
      </c>
      <c r="F33" t="n">
        <v>12</v>
      </c>
      <c r="G33" t="inlineStr">
        <is>
          <t>Baltra Island Airport, Sombero Chino Island, Isabela, Punta Vicente Roca, Fernandina Island, Punta Espinoza, Isabela Island, Tagus Cove, Isabela Island, Urbina Bay, Isabela Island, Elizabeth Bay, Isabela Island, Punta Moreno, Santa Cruz Isl</t>
        </is>
      </c>
      <c r="H33" s="3" t="n">
        <v>67.2</v>
      </c>
      <c r="I33" s="3" t="n">
        <v>170.4</v>
      </c>
      <c r="J33" s="2">
        <f>IF(OR(I33="",E33=""),"",ROUND(I33/E33,1))</f>
        <v/>
      </c>
      <c r="K33" s="2">
        <f>IFERROR(IF(H33="","",(H33-MIN($H$2:$H$256))/(MAX($H$2:$H$256)-MIN($H$2:$H$256))),"")</f>
        <v/>
      </c>
      <c r="L33" s="2">
        <f>IFERROR(IF(J33="","",(MAX($J$2:$J$256)-J33)/(MAX($J$2:$J$256)-MIN($J$2:$J$256))),"")</f>
        <v/>
      </c>
      <c r="M33" s="2">
        <f>IF(K33="","",ROUND(100*(Wit_quality*K33+Wit_nav*IF(L33="",0,L33)),1))</f>
        <v/>
      </c>
      <c r="N33" t="n">
        <v>70</v>
      </c>
    </row>
    <row r="34">
      <c r="A34" s="2">
        <f>IF(M34="","",RANK(M34,$M$2:$M$256))</f>
        <v/>
      </c>
      <c r="B34" t="inlineStr">
        <is>
          <t>ANAHI</t>
        </is>
      </c>
      <c r="C34" t="inlineStr">
        <is>
          <t>Itinerary B1 (West)</t>
        </is>
      </c>
      <c r="D34" s="3" t="inlineStr">
        <is>
          <t>Friday</t>
        </is>
      </c>
      <c r="E34" s="3" t="n">
        <v>8</v>
      </c>
      <c r="F34" t="n">
        <v>17</v>
      </c>
      <c r="G34" t="inlineStr">
        <is>
          <t>Baltra Island Airport, Santa Cruz Island, Los Gemelos - Highlands, Isabela Island, Sierra Negra, Isabela Island, Wetlands, Isabela Island, Villamil Tortoise Centre, Isabela Island, Punta Moreno, Isabela Island, Elizabeth Bay, Isabela Island</t>
        </is>
      </c>
      <c r="H34" s="3" t="n">
        <v>67</v>
      </c>
      <c r="I34" s="3" t="n">
        <v>176.5</v>
      </c>
      <c r="J34" s="2">
        <f>IF(OR(I34="",E34=""),"",ROUND(I34/E34,1))</f>
        <v/>
      </c>
      <c r="K34" s="2">
        <f>IFERROR(IF(H34="","",(H34-MIN($H$2:$H$256))/(MAX($H$2:$H$256)-MIN($H$2:$H$256))),"")</f>
        <v/>
      </c>
      <c r="L34" s="2">
        <f>IFERROR(IF(J34="","",(MAX($J$2:$J$256)-J34)/(MAX($J$2:$J$256)-MIN($J$2:$J$256))),"")</f>
        <v/>
      </c>
      <c r="M34" s="2">
        <f>IF(K34="","",ROUND(100*(Wit_quality*K34+Wit_nav*IF(L34="",0,L34)),1))</f>
        <v/>
      </c>
      <c r="N34" t="n">
        <v>69</v>
      </c>
    </row>
    <row r="35">
      <c r="A35" s="2">
        <f>IF(M35="","",RANK(M35,$M$2:$M$256))</f>
        <v/>
      </c>
      <c r="B35" t="inlineStr">
        <is>
          <t>SAMBA</t>
        </is>
      </c>
      <c r="C35" t="inlineStr">
        <is>
          <t>North West</t>
        </is>
      </c>
      <c r="D35" s="3" t="inlineStr">
        <is>
          <t>Tuesday</t>
        </is>
      </c>
      <c r="E35" s="3" t="n">
        <v>8</v>
      </c>
      <c r="F35" t="n">
        <v>16</v>
      </c>
      <c r="G35" t="inlineStr">
        <is>
          <t>Baltra Island Airport, Santa Cruz Island, Bachas Beach, Genovesa Island, Darwin Bay, Genovesa Island, Prince Phillip's Steps, Marchena Island, Punta Mejia, Marchena Island, Playa Negra, Isabela Island, Albemarle Point, Isabela, Punta Vicent</t>
        </is>
      </c>
      <c r="H35" s="3" t="n">
        <v>66.8</v>
      </c>
      <c r="I35" s="3" t="n">
        <v>332.6</v>
      </c>
      <c r="J35" s="2">
        <f>IF(OR(I35="",E35=""),"",ROUND(I35/E35,1))</f>
        <v/>
      </c>
      <c r="K35" s="2">
        <f>IFERROR(IF(H35="","",(H35-MIN($H$2:$H$256))/(MAX($H$2:$H$256)-MIN($H$2:$H$256))),"")</f>
        <v/>
      </c>
      <c r="L35" s="2">
        <f>IFERROR(IF(J35="","",(MAX($J$2:$J$256)-J35)/(MAX($J$2:$J$256)-MIN($J$2:$J$256))),"")</f>
        <v/>
      </c>
      <c r="M35" s="2">
        <f>IF(K35="","",ROUND(100*(Wit_quality*K35+Wit_nav*IF(L35="",0,L35)),1))</f>
        <v/>
      </c>
      <c r="N35" t="n">
        <v>68</v>
      </c>
    </row>
    <row r="36">
      <c r="A36" s="2">
        <f>IF(M36="","",RANK(M36,$M$2:$M$256))</f>
        <v/>
      </c>
      <c r="B36" t="inlineStr">
        <is>
          <t>Cachalote Explorer</t>
        </is>
      </c>
      <c r="C36" t="inlineStr">
        <is>
          <t>Fernandina Itinerary</t>
        </is>
      </c>
      <c r="D36" s="3" t="inlineStr">
        <is>
          <t>Wednesday</t>
        </is>
      </c>
      <c r="E36" s="3" t="n">
        <v>8</v>
      </c>
      <c r="F36" t="n">
        <v>17</v>
      </c>
      <c r="G36" t="inlineStr">
        <is>
          <t>Baltra Island Airport, Santa Cruz Island, Los Gemelos - Highlands, Santa Cruz Island, Darwin Station - Tortoise Centre, Sombero Chino Island, Rábida Island, Isabela Island, Sierra Negra, Isabela Island, Villamil Tortoise Centre, Isabela Isl</t>
        </is>
      </c>
      <c r="H36" s="3" t="n">
        <v>66.59999999999999</v>
      </c>
      <c r="I36" s="3" t="n">
        <v>170.1</v>
      </c>
      <c r="J36" s="2">
        <f>IF(OR(I36="",E36=""),"",ROUND(I36/E36,1))</f>
        <v/>
      </c>
      <c r="K36" s="2">
        <f>IFERROR(IF(H36="","",(H36-MIN($H$2:$H$256))/(MAX($H$2:$H$256)-MIN($H$2:$H$256))),"")</f>
        <v/>
      </c>
      <c r="L36" s="2">
        <f>IFERROR(IF(J36="","",(MAX($J$2:$J$256)-J36)/(MAX($J$2:$J$256)-MIN($J$2:$J$256))),"")</f>
        <v/>
      </c>
      <c r="M36" s="2">
        <f>IF(K36="","",ROUND(100*(Wit_quality*K36+Wit_nav*IF(L36="",0,L36)),1))</f>
        <v/>
      </c>
      <c r="N36" t="n">
        <v>68</v>
      </c>
    </row>
    <row r="37">
      <c r="A37" s="2">
        <f>IF(M37="","",RANK(M37,$M$2:$M$256))</f>
        <v/>
      </c>
      <c r="B37" t="inlineStr">
        <is>
          <t>NEMO II</t>
        </is>
      </c>
      <c r="C37" t="inlineStr">
        <is>
          <t>North itinerary</t>
        </is>
      </c>
      <c r="D37" s="3" t="inlineStr">
        <is>
          <t>Sunday</t>
        </is>
      </c>
      <c r="E37" s="3" t="n">
        <v>8</v>
      </c>
      <c r="F37" t="n">
        <v>16</v>
      </c>
      <c r="G37" t="inlineStr">
        <is>
          <t>Baltra Island Airport, North Seymour Island, Santa Cruz Island, Los Gemelos - Highlands, Santa Cruz Island, Darwin Station - Tortoise Centre, Isabela Island, Punta Moreno, Isabela Island, Urbina Bay, Isabela Island, Tagus Cove, Fernandina I</t>
        </is>
      </c>
      <c r="H37" s="3" t="n">
        <v>66.59999999999999</v>
      </c>
      <c r="I37" s="3" t="n">
        <v>269.9</v>
      </c>
      <c r="J37" s="2">
        <f>IF(OR(I37="",E37=""),"",ROUND(I37/E37,1))</f>
        <v/>
      </c>
      <c r="K37" s="2">
        <f>IFERROR(IF(H37="","",(H37-MIN($H$2:$H$256))/(MAX($H$2:$H$256)-MIN($H$2:$H$256))),"")</f>
        <v/>
      </c>
      <c r="L37" s="2">
        <f>IFERROR(IF(J37="","",(MAX($J$2:$J$256)-J37)/(MAX($J$2:$J$256)-MIN($J$2:$J$256))),"")</f>
        <v/>
      </c>
      <c r="M37" s="2">
        <f>IF(K37="","",ROUND(100*(Wit_quality*K37+Wit_nav*IF(L37="",0,L37)),1))</f>
        <v/>
      </c>
      <c r="N37" t="n">
        <v>68</v>
      </c>
    </row>
    <row r="38">
      <c r="A38" s="2">
        <f>IF(M38="","",RANK(M38,$M$2:$M$256))</f>
        <v/>
      </c>
      <c r="B38" t="inlineStr">
        <is>
          <t>TIP TOP IV</t>
        </is>
      </c>
      <c r="C38" t="inlineStr">
        <is>
          <t>Itinerary 2</t>
        </is>
      </c>
      <c r="D38" s="3" t="inlineStr">
        <is>
          <t>Friday</t>
        </is>
      </c>
      <c r="E38" s="3" t="n">
        <v>8</v>
      </c>
      <c r="F38" t="n">
        <v>16</v>
      </c>
      <c r="G38" t="inlineStr">
        <is>
          <t>Baltra Island Airport, Santa Cruz Island, Darwin Station - Tortoise Centre, Española Island, Punta Suarez, Española Island, Gardner Bay, San Cristóbal Island, Cerro Brujo, San Cristóbal Island, Leon Dormido, Mosquera Island, Santa Cruz Isla</t>
        </is>
      </c>
      <c r="H38" s="3" t="n">
        <v>66.5</v>
      </c>
      <c r="I38" s="3" t="n">
        <v>312.5</v>
      </c>
      <c r="J38" s="2">
        <f>IF(OR(I38="",E38=""),"",ROUND(I38/E38,1))</f>
        <v/>
      </c>
      <c r="K38" s="2">
        <f>IFERROR(IF(H38="","",(H38-MIN($H$2:$H$256))/(MAX($H$2:$H$256)-MIN($H$2:$H$256))),"")</f>
        <v/>
      </c>
      <c r="L38" s="2">
        <f>IFERROR(IF(J38="","",(MAX($J$2:$J$256)-J38)/(MAX($J$2:$J$256)-MIN($J$2:$J$256))),"")</f>
        <v/>
      </c>
      <c r="M38" s="2">
        <f>IF(K38="","",ROUND(100*(Wit_quality*K38+Wit_nav*IF(L38="",0,L38)),1))</f>
        <v/>
      </c>
      <c r="N38" t="n">
        <v>67</v>
      </c>
    </row>
    <row r="39">
      <c r="A39" s="2">
        <f>IF(M39="","",RANK(M39,$M$2:$M$256))</f>
        <v/>
      </c>
      <c r="B39" t="inlineStr">
        <is>
          <t>ANGELITO</t>
        </is>
      </c>
      <c r="C39" t="inlineStr">
        <is>
          <t>Itinerary A5</t>
        </is>
      </c>
      <c r="D39" s="3" t="inlineStr">
        <is>
          <t>Sunday</t>
        </is>
      </c>
      <c r="E39" s="3" t="n">
        <v>5</v>
      </c>
      <c r="F39" t="n">
        <v>10</v>
      </c>
      <c r="G39" t="inlineStr">
        <is>
          <t>Baltra Island Airport, North Seymour Island, Sombero Chino Island, Bartolomé Island, Genovesa Island, Darwin Bay, Genovesa Island, Prince Phillip's Steps, Santiago Island, Puerto Egas, Rábida Island, Santa Cruz Island, Darwin Station - Tort</t>
        </is>
      </c>
      <c r="H39" s="3" t="n">
        <v>66.40000000000001</v>
      </c>
      <c r="I39" s="3" t="n">
        <v>181</v>
      </c>
      <c r="J39" s="2">
        <f>IF(OR(I39="",E39=""),"",ROUND(I39/E39,1))</f>
        <v/>
      </c>
      <c r="K39" s="2">
        <f>IFERROR(IF(H39="","",(H39-MIN($H$2:$H$256))/(MAX($H$2:$H$256)-MIN($H$2:$H$256))),"")</f>
        <v/>
      </c>
      <c r="L39" s="2">
        <f>IFERROR(IF(J39="","",(MAX($J$2:$J$256)-J39)/(MAX($J$2:$J$256)-MIN($J$2:$J$256))),"")</f>
        <v/>
      </c>
      <c r="M39" s="2">
        <f>IF(K39="","",ROUND(100*(Wit_quality*K39+Wit_nav*IF(L39="",0,L39)),1))</f>
        <v/>
      </c>
      <c r="N39" t="n">
        <v>71</v>
      </c>
    </row>
    <row r="40">
      <c r="A40" s="2">
        <f>IF(M40="","",RANK(M40,$M$2:$M$256))</f>
        <v/>
      </c>
      <c r="B40" t="inlineStr">
        <is>
          <t>Endemic</t>
        </is>
      </c>
      <c r="C40" t="inlineStr">
        <is>
          <t>C 5Days</t>
        </is>
      </c>
      <c r="D40" s="3" t="inlineStr">
        <is>
          <t>Sunday</t>
        </is>
      </c>
      <c r="E40" s="3" t="n">
        <v>5</v>
      </c>
      <c r="F40" t="n">
        <v>10</v>
      </c>
      <c r="G40" t="inlineStr">
        <is>
          <t xml:space="preserve">Baltra Island Airport, Santa Cruz Island, Cerro Dragon, San Cristóbal Island, Leon Dormido, San Cristóbal Island, Lobos Island, Española Island, Gardner Bay, Española Island, Punta Suarez, Santa Fe Island, Santa Cruz Island, Darwin Station </t>
        </is>
      </c>
      <c r="H40" s="3" t="n">
        <v>66.40000000000001</v>
      </c>
      <c r="I40" s="3" t="n">
        <v>191.6</v>
      </c>
      <c r="J40" s="2">
        <f>IF(OR(I40="",E40=""),"",ROUND(I40/E40,1))</f>
        <v/>
      </c>
      <c r="K40" s="2">
        <f>IFERROR(IF(H40="","",(H40-MIN($H$2:$H$256))/(MAX($H$2:$H$256)-MIN($H$2:$H$256))),"")</f>
        <v/>
      </c>
      <c r="L40" s="2">
        <f>IFERROR(IF(J40="","",(MAX($J$2:$J$256)-J40)/(MAX($J$2:$J$256)-MIN($J$2:$J$256))),"")</f>
        <v/>
      </c>
      <c r="M40" s="2">
        <f>IF(K40="","",ROUND(100*(Wit_quality*K40+Wit_nav*IF(L40="",0,L40)),1))</f>
        <v/>
      </c>
      <c r="N40" t="n">
        <v>70</v>
      </c>
    </row>
    <row r="41">
      <c r="A41" s="2">
        <f>IF(M41="","",RANK(M41,$M$2:$M$256))</f>
        <v/>
      </c>
      <c r="B41" t="inlineStr">
        <is>
          <t>Floreana</t>
        </is>
      </c>
      <c r="C41" t="inlineStr">
        <is>
          <t>North Itinerary</t>
        </is>
      </c>
      <c r="D41" s="3" t="inlineStr">
        <is>
          <t>Thursday</t>
        </is>
      </c>
      <c r="E41" s="3" t="n">
        <v>8</v>
      </c>
      <c r="F41" t="n">
        <v>16</v>
      </c>
      <c r="G41" t="inlineStr">
        <is>
          <t>Baltra Island Airport, Santa Cruz Island, Los Gemelos - Highlands, Genovesa Island, Darwin Bay, Genovesa Island, Prince Phillip's Steps, Santiago Island, Sullivan Bay, Bartolomé Island, Sombero Chino Island, Santa Cruz Island, Cerro Dragon,</t>
        </is>
      </c>
      <c r="H41" s="3" t="n">
        <v>66.40000000000001</v>
      </c>
      <c r="I41" s="3" t="n">
        <v>337.3</v>
      </c>
      <c r="J41" s="2">
        <f>IF(OR(I41="",E41=""),"",ROUND(I41/E41,1))</f>
        <v/>
      </c>
      <c r="K41" s="2">
        <f>IFERROR(IF(H41="","",(H41-MIN($H$2:$H$256))/(MAX($H$2:$H$256)-MIN($H$2:$H$256))),"")</f>
        <v/>
      </c>
      <c r="L41" s="2">
        <f>IFERROR(IF(J41="","",(MAX($J$2:$J$256)-J41)/(MAX($J$2:$J$256)-MIN($J$2:$J$256))),"")</f>
        <v/>
      </c>
      <c r="M41" s="2">
        <f>IF(K41="","",ROUND(100*(Wit_quality*K41+Wit_nav*IF(L41="",0,L41)),1))</f>
        <v/>
      </c>
      <c r="N41" t="n">
        <v>68</v>
      </c>
    </row>
    <row r="42">
      <c r="A42" s="2">
        <f>IF(M42="","",RANK(M42,$M$2:$M$256))</f>
        <v/>
      </c>
      <c r="B42" t="inlineStr">
        <is>
          <t>NEMO I</t>
        </is>
      </c>
      <c r="C42" t="inlineStr">
        <is>
          <t>Itinerary A4</t>
        </is>
      </c>
      <c r="D42" s="3" t="inlineStr">
        <is>
          <t>Monday</t>
        </is>
      </c>
      <c r="E42" s="3" t="n">
        <v>4</v>
      </c>
      <c r="F42" t="n">
        <v>8</v>
      </c>
      <c r="G42" t="inlineStr">
        <is>
          <t>Baltra Island Airport, North Seymour Island, Genovesa Island, Darwin Bay, Genovesa Island, Prince Phillip's Steps, Bartolomé Island, Sombero Chino Island, Santa Cruz Island, Los Gemelos - Highlands, Baltra Island Airport</t>
        </is>
      </c>
      <c r="H42" s="3" t="n">
        <v>66.40000000000001</v>
      </c>
      <c r="I42" s="3" t="n">
        <v>138.9</v>
      </c>
      <c r="J42" s="2">
        <f>IF(OR(I42="",E42=""),"",ROUND(I42/E42,1))</f>
        <v/>
      </c>
      <c r="K42" s="2">
        <f>IFERROR(IF(H42="","",(H42-MIN($H$2:$H$256))/(MAX($H$2:$H$256)-MIN($H$2:$H$256))),"")</f>
        <v/>
      </c>
      <c r="L42" s="2">
        <f>IFERROR(IF(J42="","",(MAX($J$2:$J$256)-J42)/(MAX($J$2:$J$256)-MIN($J$2:$J$256))),"")</f>
        <v/>
      </c>
      <c r="M42" s="2">
        <f>IF(K42="","",ROUND(100*(Wit_quality*K42+Wit_nav*IF(L42="",0,L42)),1))</f>
        <v/>
      </c>
      <c r="N42" t="n">
        <v>73</v>
      </c>
    </row>
    <row r="43">
      <c r="A43" s="2">
        <f>IF(M43="","",RANK(M43,$M$2:$M$256))</f>
        <v/>
      </c>
      <c r="B43" t="inlineStr">
        <is>
          <t>NEMO II</t>
        </is>
      </c>
      <c r="C43" t="inlineStr">
        <is>
          <t>South Itinerary B5</t>
        </is>
      </c>
      <c r="D43" s="3" t="inlineStr">
        <is>
          <t>Sunday</t>
        </is>
      </c>
      <c r="E43" s="3" t="n">
        <v>5</v>
      </c>
      <c r="F43" t="n">
        <v>11</v>
      </c>
      <c r="G43" t="inlineStr">
        <is>
          <t>Baltra Island Airport, Santa Cruz Island, Bachas Beach, South Plaza Island, Santa Fe Island, San Cristóbal Island, Cerro Brujo, San Cristóbal Island, Leon Dormido, Española Island, Punta Suarez, Española Island, Gardner Bay, Santa Cruz Isla</t>
        </is>
      </c>
      <c r="H43" s="3" t="n">
        <v>66.40000000000001</v>
      </c>
      <c r="I43" s="3" t="n">
        <v>188.3</v>
      </c>
      <c r="J43" s="2">
        <f>IF(OR(I43="",E43=""),"",ROUND(I43/E43,1))</f>
        <v/>
      </c>
      <c r="K43" s="2">
        <f>IFERROR(IF(H43="","",(H43-MIN($H$2:$H$256))/(MAX($H$2:$H$256)-MIN($H$2:$H$256))),"")</f>
        <v/>
      </c>
      <c r="L43" s="2">
        <f>IFERROR(IF(J43="","",(MAX($J$2:$J$256)-J43)/(MAX($J$2:$J$256)-MIN($J$2:$J$256))),"")</f>
        <v/>
      </c>
      <c r="M43" s="2">
        <f>IF(K43="","",ROUND(100*(Wit_quality*K43+Wit_nav*IF(L43="",0,L43)),1))</f>
        <v/>
      </c>
      <c r="N43" t="n">
        <v>70</v>
      </c>
    </row>
    <row r="44">
      <c r="A44" s="2">
        <f>IF(M44="","",RANK(M44,$M$2:$M$256))</f>
        <v/>
      </c>
      <c r="B44" t="inlineStr">
        <is>
          <t>PETREL</t>
        </is>
      </c>
      <c r="C44" t="inlineStr">
        <is>
          <t>Itinerary A</t>
        </is>
      </c>
      <c r="D44" s="3" t="inlineStr">
        <is>
          <t>Friday</t>
        </is>
      </c>
      <c r="E44" s="3" t="n">
        <v>8</v>
      </c>
      <c r="F44" t="n">
        <v>16</v>
      </c>
      <c r="G44" t="inlineStr">
        <is>
          <t>Baltra Island Airport, North Seymour Island, Isabela, Punta Vicente Roca, Fernandina Island, Punta Espinoza, Isabela Island, Tagus Cove, Isabela Island, Urbina Bay, Isabela Island, Elizabeth Bay, Isabela Island, Punta Moreno, Isabela Island</t>
        </is>
      </c>
      <c r="H44" s="3" t="n">
        <v>66.40000000000001</v>
      </c>
      <c r="I44" s="3" t="n">
        <v>214</v>
      </c>
      <c r="J44" s="2">
        <f>IF(OR(I44="",E44=""),"",ROUND(I44/E44,1))</f>
        <v/>
      </c>
      <c r="K44" s="2">
        <f>IFERROR(IF(H44="","",(H44-MIN($H$2:$H$256))/(MAX($H$2:$H$256)-MIN($H$2:$H$256))),"")</f>
        <v/>
      </c>
      <c r="L44" s="2">
        <f>IFERROR(IF(J44="","",(MAX($J$2:$J$256)-J44)/(MAX($J$2:$J$256)-MIN($J$2:$J$256))),"")</f>
        <v/>
      </c>
      <c r="M44" s="2">
        <f>IF(K44="","",ROUND(100*(Wit_quality*K44+Wit_nav*IF(L44="",0,L44)),1))</f>
        <v/>
      </c>
      <c r="N44" t="n">
        <v>70</v>
      </c>
    </row>
    <row r="45">
      <c r="A45" s="2">
        <f>IF(M45="","",RANK(M45,$M$2:$M$256))</f>
        <v/>
      </c>
      <c r="B45" t="inlineStr">
        <is>
          <t>BELUGA</t>
        </is>
      </c>
      <c r="C45" t="inlineStr">
        <is>
          <t>Isabela</t>
        </is>
      </c>
      <c r="D45" s="3" t="inlineStr">
        <is>
          <t>Sunday</t>
        </is>
      </c>
      <c r="E45" s="3" t="n">
        <v>6</v>
      </c>
      <c r="F45" t="n">
        <v>12</v>
      </c>
      <c r="G45" t="inlineStr">
        <is>
          <t>Baltra Island Airport, Isabela Island, Albemarle Point, Isabela Island, Punta Moreno, Isabela Island, Elizabeth Bay, Isabela Island, Urbina Bay, Isabela Island, Tagus Cove, Fernandina Island, Punta Espinoza, Isabela, Punta Vicente Roca, San</t>
        </is>
      </c>
      <c r="H45" s="3" t="n">
        <v>66.3</v>
      </c>
      <c r="I45" s="3" t="n">
        <v>158.2</v>
      </c>
      <c r="J45" s="2">
        <f>IF(OR(I45="",E45=""),"",ROUND(I45/E45,1))</f>
        <v/>
      </c>
      <c r="K45" s="2">
        <f>IFERROR(IF(H45="","",(H45-MIN($H$2:$H$256))/(MAX($H$2:$H$256)-MIN($H$2:$H$256))),"")</f>
        <v/>
      </c>
      <c r="L45" s="2">
        <f>IFERROR(IF(J45="","",(MAX($J$2:$J$256)-J45)/(MAX($J$2:$J$256)-MIN($J$2:$J$256))),"")</f>
        <v/>
      </c>
      <c r="M45" s="2">
        <f>IF(K45="","",ROUND(100*(Wit_quality*K45+Wit_nav*IF(L45="",0,L45)),1))</f>
        <v/>
      </c>
      <c r="N45" t="n">
        <v>73</v>
      </c>
    </row>
    <row r="46">
      <c r="A46" s="2">
        <f>IF(M46="","",RANK(M46,$M$2:$M$256))</f>
        <v/>
      </c>
      <c r="B46" t="inlineStr">
        <is>
          <t>ARCHIPELL II</t>
        </is>
      </c>
      <c r="C46" t="inlineStr">
        <is>
          <t>Itinerary C</t>
        </is>
      </c>
      <c r="D46" s="3" t="inlineStr">
        <is>
          <t>Thursday</t>
        </is>
      </c>
      <c r="E46" s="3" t="n">
        <v>8</v>
      </c>
      <c r="F46" t="n">
        <v>16</v>
      </c>
      <c r="G46" t="inlineStr">
        <is>
          <t>Baltra Island Airport, Santa Cruz Island, Los Gemelos - Highlands, Isabela Island, Villamil Tortoise Centre, Isabela Island, Wetlands, Isabela Island, Punta Moreno, Isabela Island, Elizabeth Bay, Isabela Island, Tagus Cove, Fernandina Islan</t>
        </is>
      </c>
      <c r="H46" s="3" t="n">
        <v>66.09999999999999</v>
      </c>
      <c r="I46" s="3" t="n">
        <v>323.2</v>
      </c>
      <c r="J46" s="2">
        <f>IF(OR(I46="",E46=""),"",ROUND(I46/E46,1))</f>
        <v/>
      </c>
      <c r="K46" s="2">
        <f>IFERROR(IF(H46="","",(H46-MIN($H$2:$H$256))/(MAX($H$2:$H$256)-MIN($H$2:$H$256))),"")</f>
        <v/>
      </c>
      <c r="L46" s="2">
        <f>IFERROR(IF(J46="","",(MAX($J$2:$J$256)-J46)/(MAX($J$2:$J$256)-MIN($J$2:$J$256))),"")</f>
        <v/>
      </c>
      <c r="M46" s="2">
        <f>IF(K46="","",ROUND(100*(Wit_quality*K46+Wit_nav*IF(L46="",0,L46)),1))</f>
        <v/>
      </c>
      <c r="N46" t="n">
        <v>68</v>
      </c>
    </row>
    <row r="47">
      <c r="A47" s="2">
        <f>IF(M47="","",RANK(M47,$M$2:$M$256))</f>
        <v/>
      </c>
      <c r="B47" t="inlineStr">
        <is>
          <t>Camila</t>
        </is>
      </c>
      <c r="C47" t="inlineStr">
        <is>
          <t>D 5Days</t>
        </is>
      </c>
      <c r="D47" s="3" t="inlineStr">
        <is>
          <t>Tuesday</t>
        </is>
      </c>
      <c r="E47" s="3" t="n">
        <v>5</v>
      </c>
      <c r="F47" t="n">
        <v>10</v>
      </c>
      <c r="G47" t="inlineStr">
        <is>
          <t>Baltra Island Airport, Bartolomé Island, Rábida Island, Santiago Island, Puerto Egas, Genovesa Island, Darwin Bay, Genovesa Island, Prince Phillip's Steps, Mosquera Island, Santa Cruz Island, Los Gemelos - Highlands, North Seymour Island, B</t>
        </is>
      </c>
      <c r="H47" s="3" t="n">
        <v>66.09999999999999</v>
      </c>
      <c r="I47" s="3" t="n">
        <v>175.7</v>
      </c>
      <c r="J47" s="2">
        <f>IF(OR(I47="",E47=""),"",ROUND(I47/E47,1))</f>
        <v/>
      </c>
      <c r="K47" s="2">
        <f>IFERROR(IF(H47="","",(H47-MIN($H$2:$H$256))/(MAX($H$2:$H$256)-MIN($H$2:$H$256))),"")</f>
        <v/>
      </c>
      <c r="L47" s="2">
        <f>IFERROR(IF(J47="","",(MAX($J$2:$J$256)-J47)/(MAX($J$2:$J$256)-MIN($J$2:$J$256))),"")</f>
        <v/>
      </c>
      <c r="M47" s="2">
        <f>IF(K47="","",ROUND(100*(Wit_quality*K47+Wit_nav*IF(L47="",0,L47)),1))</f>
        <v/>
      </c>
      <c r="N47" t="n">
        <v>71</v>
      </c>
    </row>
    <row r="48">
      <c r="A48" s="2">
        <f>IF(M48="","",RANK(M48,$M$2:$M$256))</f>
        <v/>
      </c>
      <c r="B48" t="inlineStr">
        <is>
          <t>NEMO III</t>
        </is>
      </c>
      <c r="C48" t="inlineStr">
        <is>
          <t>Itinerary B</t>
        </is>
      </c>
      <c r="D48" s="3" t="inlineStr">
        <is>
          <t>Sunday</t>
        </is>
      </c>
      <c r="E48" s="3" t="n">
        <v>8</v>
      </c>
      <c r="F48" t="n">
        <v>17</v>
      </c>
      <c r="G48" t="inlineStr">
        <is>
          <t>Baltra Island Airport, North Seymour Island, San Cristóbal Island, Lobos Island, San Cristóbal Island, Leon Dormido, San Cristóbal Island, Cerro Brujo, Española Island, Gardner Bay, Española Island, Punta Suarez, Floreana Island, Punta Corm</t>
        </is>
      </c>
      <c r="H48" s="3" t="n">
        <v>66.09999999999999</v>
      </c>
      <c r="I48" s="3" t="n">
        <v>279.2</v>
      </c>
      <c r="J48" s="2">
        <f>IF(OR(I48="",E48=""),"",ROUND(I48/E48,1))</f>
        <v/>
      </c>
      <c r="K48" s="2">
        <f>IFERROR(IF(H48="","",(H48-MIN($H$2:$H$256))/(MAX($H$2:$H$256)-MIN($H$2:$H$256))),"")</f>
        <v/>
      </c>
      <c r="L48" s="2">
        <f>IFERROR(IF(J48="","",(MAX($J$2:$J$256)-J48)/(MAX($J$2:$J$256)-MIN($J$2:$J$256))),"")</f>
        <v/>
      </c>
      <c r="M48" s="2">
        <f>IF(K48="","",ROUND(100*(Wit_quality*K48+Wit_nav*IF(L48="",0,L48)),1))</f>
        <v/>
      </c>
      <c r="N48" t="n">
        <v>66</v>
      </c>
    </row>
    <row r="49">
      <c r="A49" s="2">
        <f>IF(M49="","",RANK(M49,$M$2:$M$256))</f>
        <v/>
      </c>
      <c r="B49" t="inlineStr">
        <is>
          <t>SEA MAN JOURNEY</t>
        </is>
      </c>
      <c r="C49" t="inlineStr">
        <is>
          <t>Itinerary C</t>
        </is>
      </c>
      <c r="D49" s="3" t="inlineStr">
        <is>
          <t>Friday</t>
        </is>
      </c>
      <c r="E49" s="3" t="n">
        <v>8</v>
      </c>
      <c r="F49" t="n">
        <v>16</v>
      </c>
      <c r="G49" t="inlineStr">
        <is>
          <t>Baltra Island Airport, Santa Cruz Island, Los Gemelos - Highlands, Fernandina Island, Punta Mangle, Isabela Island, Punta Moreno, Isabela Island, Urbina Bay, Isabela Island, Tagus Cove, Fernandina Island, Punta Espinoza, Isabela, Punta Vice</t>
        </is>
      </c>
      <c r="H49" s="3" t="n">
        <v>66</v>
      </c>
      <c r="I49" s="3" t="n">
        <v>258.1</v>
      </c>
      <c r="J49" s="2">
        <f>IF(OR(I49="",E49=""),"",ROUND(I49/E49,1))</f>
        <v/>
      </c>
      <c r="K49" s="2">
        <f>IFERROR(IF(H49="","",(H49-MIN($H$2:$H$256))/(MAX($H$2:$H$256)-MIN($H$2:$H$256))),"")</f>
        <v/>
      </c>
      <c r="L49" s="2">
        <f>IFERROR(IF(J49="","",(MAX($J$2:$J$256)-J49)/(MAX($J$2:$J$256)-MIN($J$2:$J$256))),"")</f>
        <v/>
      </c>
      <c r="M49" s="2">
        <f>IF(K49="","",ROUND(100*(Wit_quality*K49+Wit_nav*IF(L49="",0,L49)),1))</f>
        <v/>
      </c>
      <c r="N49" t="n">
        <v>66</v>
      </c>
    </row>
    <row r="50">
      <c r="A50" s="2">
        <f>IF(M50="","",RANK(M50,$M$2:$M$256))</f>
        <v/>
      </c>
      <c r="B50" t="inlineStr">
        <is>
          <t>YOLITA II</t>
        </is>
      </c>
      <c r="C50" t="inlineStr">
        <is>
          <t>Itinerary B</t>
        </is>
      </c>
      <c r="D50" s="3" t="inlineStr">
        <is>
          <t>Sunday</t>
        </is>
      </c>
      <c r="E50" s="3" t="n">
        <v>8</v>
      </c>
      <c r="F50" t="n">
        <v>16</v>
      </c>
      <c r="G50" t="inlineStr">
        <is>
          <t xml:space="preserve">Baltra Island Airport, North Seymour Island, San Cristóbal Island, Cerro Brujo, San Cristóbal Island, Leon Dormido, Española Island, Gardner Bay, Española Island, Punta Suarez, Santa Fe Island, South Plaza Island, Santa Cruz Island, Darwin </t>
        </is>
      </c>
      <c r="H50" s="3" t="n">
        <v>66</v>
      </c>
      <c r="I50" s="3" t="n">
        <v>293.4</v>
      </c>
      <c r="J50" s="2">
        <f>IF(OR(I50="",E50=""),"",ROUND(I50/E50,1))</f>
        <v/>
      </c>
      <c r="K50" s="2">
        <f>IFERROR(IF(H50="","",(H50-MIN($H$2:$H$256))/(MAX($H$2:$H$256)-MIN($H$2:$H$256))),"")</f>
        <v/>
      </c>
      <c r="L50" s="2">
        <f>IFERROR(IF(J50="","",(MAX($J$2:$J$256)-J50)/(MAX($J$2:$J$256)-MIN($J$2:$J$256))),"")</f>
        <v/>
      </c>
      <c r="M50" s="2">
        <f>IF(K50="","",ROUND(100*(Wit_quality*K50+Wit_nav*IF(L50="",0,L50)),1))</f>
        <v/>
      </c>
      <c r="N50" t="n">
        <v>66</v>
      </c>
    </row>
    <row r="51">
      <c r="A51" s="2">
        <f>IF(M51="","",RANK(M51,$M$2:$M$256))</f>
        <v/>
      </c>
      <c r="B51" t="inlineStr">
        <is>
          <t>Endemic</t>
        </is>
      </c>
      <c r="C51" t="inlineStr">
        <is>
          <t>B 8Days</t>
        </is>
      </c>
      <c r="D51" s="3" t="inlineStr">
        <is>
          <t>Sunday</t>
        </is>
      </c>
      <c r="E51" s="3" t="n">
        <v>8</v>
      </c>
      <c r="F51" t="n">
        <v>16</v>
      </c>
      <c r="G51" t="inlineStr">
        <is>
          <t>Baltra Island Airport, Santa Cruz Island, Cerro Dragon, San Cristóbal Island, Cerro Brujo, San Cristóbal Island, Lobos Island, Española Island, Gardner Bay, Española Island, Punta Suarez, Santa Fe Island, Santa Cruz Island, Darwin Station -</t>
        </is>
      </c>
      <c r="H51" s="3" t="n">
        <v>65.90000000000001</v>
      </c>
      <c r="I51" s="3" t="n">
        <v>370</v>
      </c>
      <c r="J51" s="2">
        <f>IF(OR(I51="",E51=""),"",ROUND(I51/E51,1))</f>
        <v/>
      </c>
      <c r="K51" s="2">
        <f>IFERROR(IF(H51="","",(H51-MIN($H$2:$H$256))/(MAX($H$2:$H$256)-MIN($H$2:$H$256))),"")</f>
        <v/>
      </c>
      <c r="L51" s="2">
        <f>IFERROR(IF(J51="","",(MAX($J$2:$J$256)-J51)/(MAX($J$2:$J$256)-MIN($J$2:$J$256))),"")</f>
        <v/>
      </c>
      <c r="M51" s="2">
        <f>IF(K51="","",ROUND(100*(Wit_quality*K51+Wit_nav*IF(L51="",0,L51)),1))</f>
        <v/>
      </c>
      <c r="N51" t="n">
        <v>66</v>
      </c>
    </row>
    <row r="52">
      <c r="A52" s="2">
        <f>IF(M52="","",RANK(M52,$M$2:$M$256))</f>
        <v/>
      </c>
      <c r="B52" t="inlineStr">
        <is>
          <t>Cachalote Explorer</t>
        </is>
      </c>
      <c r="C52" t="inlineStr">
        <is>
          <t>Tower Itinerary</t>
        </is>
      </c>
      <c r="D52" s="3" t="inlineStr">
        <is>
          <t>Wednesday</t>
        </is>
      </c>
      <c r="E52" s="3" t="n">
        <v>8</v>
      </c>
      <c r="F52" t="n">
        <v>17</v>
      </c>
      <c r="G52" t="inlineStr">
        <is>
          <t>Baltra Island Airport, Santa Cruz Island, Los Gemelos - Highlands, Santa Cruz Island, Darwin Station - Tortoise Centre, South Plaza Island, Santa Fe Island, San Cristóbal Island, Cerro Brujo, San Cristóbal Island, Galapaguera, Española Isla</t>
        </is>
      </c>
      <c r="H52" s="3" t="n">
        <v>65.8</v>
      </c>
      <c r="I52" s="3" t="n">
        <v>364.2</v>
      </c>
      <c r="J52" s="2">
        <f>IF(OR(I52="",E52=""),"",ROUND(I52/E52,1))</f>
        <v/>
      </c>
      <c r="K52" s="2">
        <f>IFERROR(IF(H52="","",(H52-MIN($H$2:$H$256))/(MAX($H$2:$H$256)-MIN($H$2:$H$256))),"")</f>
        <v/>
      </c>
      <c r="L52" s="2">
        <f>IFERROR(IF(J52="","",(MAX($J$2:$J$256)-J52)/(MAX($J$2:$J$256)-MIN($J$2:$J$256))),"")</f>
        <v/>
      </c>
      <c r="M52" s="2">
        <f>IF(K52="","",ROUND(100*(Wit_quality*K52+Wit_nav*IF(L52="",0,L52)),1))</f>
        <v/>
      </c>
      <c r="N52" t="n">
        <v>66</v>
      </c>
    </row>
    <row r="53">
      <c r="A53" s="2">
        <f>IF(M53="","",RANK(M53,$M$2:$M$256))</f>
        <v/>
      </c>
      <c r="B53" t="inlineStr">
        <is>
          <t>Ecogalaxy</t>
        </is>
      </c>
      <c r="C53" t="inlineStr">
        <is>
          <t>Itinerary B</t>
        </is>
      </c>
      <c r="D53" s="3" t="inlineStr">
        <is>
          <t>Saturday</t>
        </is>
      </c>
      <c r="E53" s="3" t="n">
        <v>6</v>
      </c>
      <c r="F53" t="n">
        <v>12</v>
      </c>
      <c r="G53" t="inlineStr">
        <is>
          <t>Baltra Island Airport, Santa Cruz Island, Darwin Station - Tortoise Centre, Isabela Island, Tintorera, Isabela Island, Punta Moreno, Isabela Island, Elizabeth Bay, Isabela Island, Urbina Bay, Fernandina Island, Punta Espinoza, Isabela, Punt</t>
        </is>
      </c>
      <c r="H53" s="3" t="n">
        <v>65.8</v>
      </c>
      <c r="I53" s="3" t="n">
        <v>180.9</v>
      </c>
      <c r="J53" s="2">
        <f>IF(OR(I53="",E53=""),"",ROUND(I53/E53,1))</f>
        <v/>
      </c>
      <c r="K53" s="2">
        <f>IFERROR(IF(H53="","",(H53-MIN($H$2:$H$256))/(MAX($H$2:$H$256)-MIN($H$2:$H$256))),"")</f>
        <v/>
      </c>
      <c r="L53" s="2">
        <f>IFERROR(IF(J53="","",(MAX($J$2:$J$256)-J53)/(MAX($J$2:$J$256)-MIN($J$2:$J$256))),"")</f>
        <v/>
      </c>
      <c r="M53" s="2">
        <f>IF(K53="","",ROUND(100*(Wit_quality*K53+Wit_nav*IF(L53="",0,L53)),1))</f>
        <v/>
      </c>
      <c r="N53" t="n">
        <v>69</v>
      </c>
    </row>
    <row r="54">
      <c r="A54" s="2">
        <f>IF(M54="","",RANK(M54,$M$2:$M$256))</f>
        <v/>
      </c>
      <c r="B54" t="inlineStr">
        <is>
          <t>LEGEND</t>
        </is>
      </c>
      <c r="C54" t="inlineStr">
        <is>
          <t>Itinerary B</t>
        </is>
      </c>
      <c r="D54" s="3" t="inlineStr">
        <is>
          <t>Thursday</t>
        </is>
      </c>
      <c r="E54" s="3" t="n">
        <v>5</v>
      </c>
      <c r="F54" t="n">
        <v>10</v>
      </c>
      <c r="G54" t="inlineStr">
        <is>
          <t>Baltra Island Airport, Mosquera Island, Santiago Island, Puerto Egas, Rábida Island, Isabela Island, Urbina Bay, Isabela Island, Tagus Cove, Fernandina Island, Punta Espinoza, Isabela, Punta Vicente Roca, Santa Cruz Island, Los Gemelos - Hi</t>
        </is>
      </c>
      <c r="H54" s="3" t="n">
        <v>65.8</v>
      </c>
      <c r="I54" s="3" t="n">
        <v>172.4</v>
      </c>
      <c r="J54" s="2">
        <f>IF(OR(I54="",E54=""),"",ROUND(I54/E54,1))</f>
        <v/>
      </c>
      <c r="K54" s="2">
        <f>IFERROR(IF(H54="","",(H54-MIN($H$2:$H$256))/(MAX($H$2:$H$256)-MIN($H$2:$H$256))),"")</f>
        <v/>
      </c>
      <c r="L54" s="2">
        <f>IFERROR(IF(J54="","",(MAX($J$2:$J$256)-J54)/(MAX($J$2:$J$256)-MIN($J$2:$J$256))),"")</f>
        <v/>
      </c>
      <c r="M54" s="2">
        <f>IF(K54="","",ROUND(100*(Wit_quality*K54+Wit_nav*IF(L54="",0,L54)),1))</f>
        <v/>
      </c>
      <c r="N54" t="n">
        <v>69</v>
      </c>
    </row>
    <row r="55">
      <c r="A55" s="2">
        <f>IF(M55="","",RANK(M55,$M$2:$M$256))</f>
        <v/>
      </c>
      <c r="B55" t="inlineStr">
        <is>
          <t>ARCHIPELL II</t>
        </is>
      </c>
      <c r="C55" t="inlineStr">
        <is>
          <t>Itinerary B</t>
        </is>
      </c>
      <c r="D55" s="3" t="inlineStr">
        <is>
          <t>Monday</t>
        </is>
      </c>
      <c r="E55" s="3" t="n">
        <v>8</v>
      </c>
      <c r="F55" t="n">
        <v>16</v>
      </c>
      <c r="G55" t="inlineStr">
        <is>
          <t xml:space="preserve">Baltra Island Airport, North Seymour Island, Genovesa Island, Prince Phillip's Steps, Genovesa Island, Darwin Bay, Bartolomé Island, Santiago Island, Sullivan Bay, Santa Cruz Island, Darwin Station - Tortoise Centre, Santa Cruz Island, Los </t>
        </is>
      </c>
      <c r="H55" s="3" t="n">
        <v>65.7</v>
      </c>
      <c r="I55" s="3" t="n">
        <v>266</v>
      </c>
      <c r="J55" s="2">
        <f>IF(OR(I55="",E55=""),"",ROUND(I55/E55,1))</f>
        <v/>
      </c>
      <c r="K55" s="2">
        <f>IFERROR(IF(H55="","",(H55-MIN($H$2:$H$256))/(MAX($H$2:$H$256)-MIN($H$2:$H$256))),"")</f>
        <v/>
      </c>
      <c r="L55" s="2">
        <f>IFERROR(IF(J55="","",(MAX($J$2:$J$256)-J55)/(MAX($J$2:$J$256)-MIN($J$2:$J$256))),"")</f>
        <v/>
      </c>
      <c r="M55" s="2">
        <f>IF(K55="","",ROUND(100*(Wit_quality*K55+Wit_nav*IF(L55="",0,L55)),1))</f>
        <v/>
      </c>
      <c r="N55" t="n">
        <v>68</v>
      </c>
    </row>
    <row r="56">
      <c r="A56" s="2">
        <f>IF(M56="","",RANK(M56,$M$2:$M$256))</f>
        <v/>
      </c>
      <c r="B56" t="inlineStr">
        <is>
          <t>Daphne</t>
        </is>
      </c>
      <c r="C56" t="inlineStr">
        <is>
          <t>Itinerary B</t>
        </is>
      </c>
      <c r="D56" s="3" t="inlineStr">
        <is>
          <t>Wednesday</t>
        </is>
      </c>
      <c r="E56" s="3" t="n">
        <v>8</v>
      </c>
      <c r="F56" t="n">
        <v>16</v>
      </c>
      <c r="G56" t="inlineStr">
        <is>
          <t>Baltra Island Airport, Santa Cruz Island, Los Gemelos - Highlands, Floreana Island, Post Office Bay, Floreana Island, Punta Cormorant - Devil`s Crown, Española Island, Punta Suarez, Española Island, Gardner Bay, San Cristóbal Island, Leon D</t>
        </is>
      </c>
      <c r="H56" s="3" t="n">
        <v>65.7</v>
      </c>
      <c r="I56" s="3" t="n">
        <v>350.4</v>
      </c>
      <c r="J56" s="2">
        <f>IF(OR(I56="",E56=""),"",ROUND(I56/E56,1))</f>
        <v/>
      </c>
      <c r="K56" s="2">
        <f>IFERROR(IF(H56="","",(H56-MIN($H$2:$H$256))/(MAX($H$2:$H$256)-MIN($H$2:$H$256))),"")</f>
        <v/>
      </c>
      <c r="L56" s="2">
        <f>IFERROR(IF(J56="","",(MAX($J$2:$J$256)-J56)/(MAX($J$2:$J$256)-MIN($J$2:$J$256))),"")</f>
        <v/>
      </c>
      <c r="M56" s="2">
        <f>IF(K56="","",ROUND(100*(Wit_quality*K56+Wit_nav*IF(L56="",0,L56)),1))</f>
        <v/>
      </c>
      <c r="N56" t="n">
        <v>67</v>
      </c>
    </row>
    <row r="57">
      <c r="A57" s="2">
        <f>IF(M57="","",RANK(M57,$M$2:$M$256))</f>
        <v/>
      </c>
      <c r="B57" t="inlineStr">
        <is>
          <t>PETREL</t>
        </is>
      </c>
      <c r="C57" t="inlineStr">
        <is>
          <t>Itinerary A6</t>
        </is>
      </c>
      <c r="D57" s="3" t="inlineStr">
        <is>
          <t>Friday</t>
        </is>
      </c>
      <c r="E57" s="3" t="n">
        <v>6</v>
      </c>
      <c r="F57" t="n">
        <v>12</v>
      </c>
      <c r="G57" t="inlineStr">
        <is>
          <t>Baltra Island Airport, North Seymour Island, Isabela, Punta Vicente Roca, Fernandina Island, Punta Espinoza, Isabela Island, Tagus Cove, Isabela Island, Urbina Bay, Isabela Island, Elizabeth Bay, Isabela Island, Punta Moreno, Isabela Island</t>
        </is>
      </c>
      <c r="H57" s="3" t="n">
        <v>65.7</v>
      </c>
      <c r="I57" s="3" t="n">
        <v>161.1</v>
      </c>
      <c r="J57" s="2">
        <f>IF(OR(I57="",E57=""),"",ROUND(I57/E57,1))</f>
        <v/>
      </c>
      <c r="K57" s="2">
        <f>IFERROR(IF(H57="","",(H57-MIN($H$2:$H$256))/(MAX($H$2:$H$256)-MIN($H$2:$H$256))),"")</f>
        <v/>
      </c>
      <c r="L57" s="2">
        <f>IFERROR(IF(J57="","",(MAX($J$2:$J$256)-J57)/(MAX($J$2:$J$256)-MIN($J$2:$J$256))),"")</f>
        <v/>
      </c>
      <c r="M57" s="2">
        <f>IF(K57="","",ROUND(100*(Wit_quality*K57+Wit_nav*IF(L57="",0,L57)),1))</f>
        <v/>
      </c>
      <c r="N57" t="n">
        <v>69</v>
      </c>
    </row>
    <row r="58">
      <c r="A58" s="2">
        <f>IF(M58="","",RANK(M58,$M$2:$M$256))</f>
        <v/>
      </c>
      <c r="B58" t="inlineStr">
        <is>
          <t>TIP TOP II</t>
        </is>
      </c>
      <c r="C58" t="inlineStr">
        <is>
          <t>Itinerary 2 4D</t>
        </is>
      </c>
      <c r="D58" s="3" t="inlineStr">
        <is>
          <t>Friday</t>
        </is>
      </c>
      <c r="E58" s="3" t="n">
        <v>4</v>
      </c>
      <c r="F58" t="n">
        <v>8</v>
      </c>
      <c r="G58" t="inlineStr">
        <is>
          <t>Baltra Island Airport, Santa Cruz Island, Bachas Beach, Genovesa Island, Darwin Bay, Genovesa Island, Prince Phillip's Steps, South Plaza Island, Santa Fe Island, Santa Cruz Island, Los Gemelos - Highlands, Baltra Island Airport</t>
        </is>
      </c>
      <c r="H58" s="3" t="n">
        <v>65.7</v>
      </c>
      <c r="I58" s="3" t="n">
        <v>179</v>
      </c>
      <c r="J58" s="2">
        <f>IF(OR(I58="",E58=""),"",ROUND(I58/E58,1))</f>
        <v/>
      </c>
      <c r="K58" s="2">
        <f>IFERROR(IF(H58="","",(H58-MIN($H$2:$H$256))/(MAX($H$2:$H$256)-MIN($H$2:$H$256))),"")</f>
        <v/>
      </c>
      <c r="L58" s="2">
        <f>IFERROR(IF(J58="","",(MAX($J$2:$J$256)-J58)/(MAX($J$2:$J$256)-MIN($J$2:$J$256))),"")</f>
        <v/>
      </c>
      <c r="M58" s="2">
        <f>IF(K58="","",ROUND(100*(Wit_quality*K58+Wit_nav*IF(L58="",0,L58)),1))</f>
        <v/>
      </c>
      <c r="N58" t="n">
        <v>72</v>
      </c>
    </row>
    <row r="59">
      <c r="A59" s="2">
        <f>IF(M59="","",RANK(M59,$M$2:$M$256))</f>
        <v/>
      </c>
      <c r="B59" t="inlineStr">
        <is>
          <t>AIDA MARIA</t>
        </is>
      </c>
      <c r="C59" t="inlineStr">
        <is>
          <t>Itinerary B</t>
        </is>
      </c>
      <c r="D59" s="3" t="inlineStr">
        <is>
          <t>Sunday</t>
        </is>
      </c>
      <c r="E59" s="3" t="n">
        <v>8</v>
      </c>
      <c r="F59" t="n">
        <v>17</v>
      </c>
      <c r="G59" t="inlineStr">
        <is>
          <t>San Cristóbal Island Airport, San Cristóbal Island, Interpretation Centre, Santa Fe Island, South Plaza Island, Santa Cruz Island, Darwin Station - Tortoise Centre, Santa Cruz Island, Los Gemelos - Highlands, Isabela Island, Sierra Negra, I</t>
        </is>
      </c>
      <c r="H59" s="3" t="n">
        <v>65.59999999999999</v>
      </c>
      <c r="I59" s="3" t="n">
        <v>224.2</v>
      </c>
      <c r="J59" s="2">
        <f>IF(OR(I59="",E59=""),"",ROUND(I59/E59,1))</f>
        <v/>
      </c>
      <c r="K59" s="2">
        <f>IFERROR(IF(H59="","",(H59-MIN($H$2:$H$256))/(MAX($H$2:$H$256)-MIN($H$2:$H$256))),"")</f>
        <v/>
      </c>
      <c r="L59" s="2">
        <f>IFERROR(IF(J59="","",(MAX($J$2:$J$256)-J59)/(MAX($J$2:$J$256)-MIN($J$2:$J$256))),"")</f>
        <v/>
      </c>
      <c r="M59" s="2">
        <f>IF(K59="","",ROUND(100*(Wit_quality*K59+Wit_nav*IF(L59="",0,L59)),1))</f>
        <v/>
      </c>
      <c r="N59" t="n">
        <v>70</v>
      </c>
    </row>
    <row r="60">
      <c r="A60" s="2">
        <f>IF(M60="","",RANK(M60,$M$2:$M$256))</f>
        <v/>
      </c>
      <c r="B60" t="inlineStr">
        <is>
          <t>MERAK</t>
        </is>
      </c>
      <c r="C60" t="inlineStr">
        <is>
          <t>Itinerary A</t>
        </is>
      </c>
      <c r="D60" s="3" t="inlineStr">
        <is>
          <t>Monday</t>
        </is>
      </c>
      <c r="E60" s="3" t="n">
        <v>8</v>
      </c>
      <c r="F60" t="n">
        <v>16</v>
      </c>
      <c r="G60" t="inlineStr">
        <is>
          <t>Baltra Island Airport, Santa Cruz Island, Bachas Beach, South Plaza Island, Santa Fe Island, Española Island, Punta Suarez, Española Island, Gardner Bay, Floreana Island, Post Office Bay, Floreana Island, Punta Cormorant - Devil`s Crown, Sa</t>
        </is>
      </c>
      <c r="H60" s="3" t="n">
        <v>65.59999999999999</v>
      </c>
      <c r="I60" s="3" t="n">
        <v>244.9</v>
      </c>
      <c r="J60" s="2">
        <f>IF(OR(I60="",E60=""),"",ROUND(I60/E60,1))</f>
        <v/>
      </c>
      <c r="K60" s="2">
        <f>IFERROR(IF(H60="","",(H60-MIN($H$2:$H$256))/(MAX($H$2:$H$256)-MIN($H$2:$H$256))),"")</f>
        <v/>
      </c>
      <c r="L60" s="2">
        <f>IFERROR(IF(J60="","",(MAX($J$2:$J$256)-J60)/(MAX($J$2:$J$256)-MIN($J$2:$J$256))),"")</f>
        <v/>
      </c>
      <c r="M60" s="2">
        <f>IF(K60="","",ROUND(100*(Wit_quality*K60+Wit_nav*IF(L60="",0,L60)),1))</f>
        <v/>
      </c>
      <c r="N60" t="n">
        <v>66</v>
      </c>
    </row>
    <row r="61">
      <c r="A61" s="2">
        <f>IF(M61="","",RANK(M61,$M$2:$M$256))</f>
        <v/>
      </c>
      <c r="B61" t="inlineStr">
        <is>
          <t>Solaris</t>
        </is>
      </c>
      <c r="C61" t="inlineStr">
        <is>
          <t>Itinerary A 8Days</t>
        </is>
      </c>
      <c r="D61" s="3" t="inlineStr">
        <is>
          <t>Tuesday</t>
        </is>
      </c>
      <c r="E61" s="3" t="n">
        <v>8</v>
      </c>
      <c r="F61" t="n">
        <v>16</v>
      </c>
      <c r="G61" t="inlineStr">
        <is>
          <t xml:space="preserve">Baltra Island Airport, Santa Cruz Island, Bachas Beach, Isabela Island, Tintorera, Isabela Island, Wetlands, Isabela Island, Punta Moreno, Isabela Island, Tagus Cove, Fernandina Island, Punta Espinoza, Isabela, Punta Vicente Roca, Santiago </t>
        </is>
      </c>
      <c r="H61" s="3" t="n">
        <v>65.59999999999999</v>
      </c>
      <c r="I61" s="3" t="n">
        <v>188.3</v>
      </c>
      <c r="J61" s="2">
        <f>IF(OR(I61="",E61=""),"",ROUND(I61/E61,1))</f>
        <v/>
      </c>
      <c r="K61" s="2">
        <f>IFERROR(IF(H61="","",(H61-MIN($H$2:$H$256))/(MAX($H$2:$H$256)-MIN($H$2:$H$256))),"")</f>
        <v/>
      </c>
      <c r="L61" s="2">
        <f>IFERROR(IF(J61="","",(MAX($J$2:$J$256)-J61)/(MAX($J$2:$J$256)-MIN($J$2:$J$256))),"")</f>
        <v/>
      </c>
      <c r="M61" s="2">
        <f>IF(K61="","",ROUND(100*(Wit_quality*K61+Wit_nav*IF(L61="",0,L61)),1))</f>
        <v/>
      </c>
      <c r="N61" t="n">
        <v>67</v>
      </c>
    </row>
    <row r="62">
      <c r="A62" s="2">
        <f>IF(M62="","",RANK(M62,$M$2:$M$256))</f>
        <v/>
      </c>
      <c r="B62" t="inlineStr">
        <is>
          <t>BELUGA</t>
        </is>
      </c>
      <c r="C62" t="inlineStr">
        <is>
          <t>San Cristobal</t>
        </is>
      </c>
      <c r="D62" s="3" t="inlineStr">
        <is>
          <t>Sunday</t>
        </is>
      </c>
      <c r="E62" s="3" t="n">
        <v>6</v>
      </c>
      <c r="F62" t="n">
        <v>12</v>
      </c>
      <c r="G62" t="inlineStr">
        <is>
          <t>San Cristóbal Island Airport, San Cristóbal Island, Leon Dormido, Española Island, Gardner Bay, Española Island, Punta Suarez, Santa Cruz Island, Darwin Station - Tortoise Centre, Santa Cruz Island, Los Gemelos - Highlands, Sombero Chino Is</t>
        </is>
      </c>
      <c r="H62" s="3" t="n">
        <v>65.5</v>
      </c>
      <c r="I62" s="3" t="n">
        <v>261.5</v>
      </c>
      <c r="J62" s="2">
        <f>IF(OR(I62="",E62=""),"",ROUND(I62/E62,1))</f>
        <v/>
      </c>
      <c r="K62" s="2">
        <f>IFERROR(IF(H62="","",(H62-MIN($H$2:$H$256))/(MAX($H$2:$H$256)-MIN($H$2:$H$256))),"")</f>
        <v/>
      </c>
      <c r="L62" s="2">
        <f>IFERROR(IF(J62="","",(MAX($J$2:$J$256)-J62)/(MAX($J$2:$J$256)-MIN($J$2:$J$256))),"")</f>
        <v/>
      </c>
      <c r="M62" s="2">
        <f>IF(K62="","",ROUND(100*(Wit_quality*K62+Wit_nav*IF(L62="",0,L62)),1))</f>
        <v/>
      </c>
      <c r="N62" t="n">
        <v>70</v>
      </c>
    </row>
    <row r="63">
      <c r="A63" s="2">
        <f>IF(M63="","",RANK(M63,$M$2:$M$256))</f>
        <v/>
      </c>
      <c r="B63" t="inlineStr">
        <is>
          <t>Ecogalaxy</t>
        </is>
      </c>
      <c r="C63" t="inlineStr">
        <is>
          <t>Itinerary A</t>
        </is>
      </c>
      <c r="D63" s="3" t="inlineStr">
        <is>
          <t>Tuesday</t>
        </is>
      </c>
      <c r="E63" s="3" t="n">
        <v>5</v>
      </c>
      <c r="F63" t="n">
        <v>10</v>
      </c>
      <c r="G63" t="inlineStr">
        <is>
          <t>San Cristóbal Island Airport, San Cristóbal Island, Leon Dormido, Santa Fe Island, South Plaza Island, North Seymour Island, Mosquera Island, Genovesa Island, Prince Phillip's Steps, Genovesa Island, Darwin Bay, Santa Cruz Island, Punta Car</t>
        </is>
      </c>
      <c r="H63" s="3" t="n">
        <v>65.5</v>
      </c>
      <c r="I63" s="3" t="n">
        <v>189.8</v>
      </c>
      <c r="J63" s="2">
        <f>IF(OR(I63="",E63=""),"",ROUND(I63/E63,1))</f>
        <v/>
      </c>
      <c r="K63" s="2">
        <f>IFERROR(IF(H63="","",(H63-MIN($H$2:$H$256))/(MAX($H$2:$H$256)-MIN($H$2:$H$256))),"")</f>
        <v/>
      </c>
      <c r="L63" s="2">
        <f>IFERROR(IF(J63="","",(MAX($J$2:$J$256)-J63)/(MAX($J$2:$J$256)-MIN($J$2:$J$256))),"")</f>
        <v/>
      </c>
      <c r="M63" s="2">
        <f>IF(K63="","",ROUND(100*(Wit_quality*K63+Wit_nav*IF(L63="",0,L63)),1))</f>
        <v/>
      </c>
      <c r="N63" t="n">
        <v>72</v>
      </c>
    </row>
    <row r="64">
      <c r="A64" s="2">
        <f>IF(M64="","",RANK(M64,$M$2:$M$256))</f>
        <v/>
      </c>
      <c r="B64" t="inlineStr">
        <is>
          <t>Ecogalaxy</t>
        </is>
      </c>
      <c r="C64" t="inlineStr">
        <is>
          <t>Itinerary D</t>
        </is>
      </c>
      <c r="D64" s="3" t="inlineStr">
        <is>
          <t>Saturday</t>
        </is>
      </c>
      <c r="E64" s="3" t="n">
        <v>8</v>
      </c>
      <c r="F64" t="n">
        <v>16</v>
      </c>
      <c r="G64" t="inlineStr">
        <is>
          <t>Baltra Island Airport, Santa Cruz Island, Darwin Station - Tortoise Centre, Isabela Island, Tintorera, Isabela Island, Punta Moreno, Isabela Island, Elizabeth Bay, Isabela Island, Urbina Bay, Fernandina Island, Punta Espinoza, Isabela, Punt</t>
        </is>
      </c>
      <c r="H64" s="3" t="n">
        <v>65.5</v>
      </c>
      <c r="I64" s="3" t="n">
        <v>246.2</v>
      </c>
      <c r="J64" s="2">
        <f>IF(OR(I64="",E64=""),"",ROUND(I64/E64,1))</f>
        <v/>
      </c>
      <c r="K64" s="2">
        <f>IFERROR(IF(H64="","",(H64-MIN($H$2:$H$256))/(MAX($H$2:$H$256)-MIN($H$2:$H$256))),"")</f>
        <v/>
      </c>
      <c r="L64" s="2">
        <f>IFERROR(IF(J64="","",(MAX($J$2:$J$256)-J64)/(MAX($J$2:$J$256)-MIN($J$2:$J$256))),"")</f>
        <v/>
      </c>
      <c r="M64" s="2">
        <f>IF(K64="","",ROUND(100*(Wit_quality*K64+Wit_nav*IF(L64="",0,L64)),1))</f>
        <v/>
      </c>
      <c r="N64" t="n">
        <v>66</v>
      </c>
    </row>
    <row r="65">
      <c r="A65" s="2">
        <f>IF(M65="","",RANK(M65,$M$2:$M$256))</f>
        <v/>
      </c>
      <c r="B65" t="inlineStr">
        <is>
          <t>Galaxy</t>
        </is>
      </c>
      <c r="C65" t="inlineStr">
        <is>
          <t>Itinerary D</t>
        </is>
      </c>
      <c r="D65" s="3" t="inlineStr">
        <is>
          <t>Saturday</t>
        </is>
      </c>
      <c r="E65" s="3" t="n">
        <v>8</v>
      </c>
      <c r="F65" t="n">
        <v>16</v>
      </c>
      <c r="G65" t="inlineStr">
        <is>
          <t>Baltra Island Airport, Santa Cruz Island, Darwin Station - Tortoise Centre, Isabela Island, Tintorera, Isabela Island, Punta Moreno, Isabela Island, Elizabeth Bay, Isabela Island, Urbina Bay, Fernandina Island, Punta Espinoza, Isabela, Punt</t>
        </is>
      </c>
      <c r="H65" s="3" t="n">
        <v>65.5</v>
      </c>
      <c r="I65" s="3" t="n">
        <v>246.2</v>
      </c>
      <c r="J65" s="2">
        <f>IF(OR(I65="",E65=""),"",ROUND(I65/E65,1))</f>
        <v/>
      </c>
      <c r="K65" s="2">
        <f>IFERROR(IF(H65="","",(H65-MIN($H$2:$H$256))/(MAX($H$2:$H$256)-MIN($H$2:$H$256))),"")</f>
        <v/>
      </c>
      <c r="L65" s="2">
        <f>IFERROR(IF(J65="","",(MAX($J$2:$J$256)-J65)/(MAX($J$2:$J$256)-MIN($J$2:$J$256))),"")</f>
        <v/>
      </c>
      <c r="M65" s="2">
        <f>IF(K65="","",ROUND(100*(Wit_quality*K65+Wit_nav*IF(L65="",0,L65)),1))</f>
        <v/>
      </c>
      <c r="N65" t="n">
        <v>66</v>
      </c>
    </row>
    <row r="66">
      <c r="A66" s="2">
        <f>IF(M66="","",RANK(M66,$M$2:$M$256))</f>
        <v/>
      </c>
      <c r="B66" t="inlineStr">
        <is>
          <t>Grace</t>
        </is>
      </c>
      <c r="C66" t="inlineStr">
        <is>
          <t>Itinerary A</t>
        </is>
      </c>
      <c r="D66" s="3" t="inlineStr">
        <is>
          <t>Saturday</t>
        </is>
      </c>
      <c r="E66" s="3" t="n">
        <v>8</v>
      </c>
      <c r="F66" t="n">
        <v>16</v>
      </c>
      <c r="G66" t="inlineStr">
        <is>
          <t xml:space="preserve">Baltra Island Airport, Daphne Major circumnavigation, Santa Fe Island, South Plaza Island, Genovesa Island, Prince Phillip's Steps, Genovesa Island, Darwin Bay, Fernandina Island, Punta Espinoza, Isabela Island, Urbina Bay, Isabela Island, </t>
        </is>
      </c>
      <c r="H66" s="3" t="n">
        <v>65.5</v>
      </c>
      <c r="I66" s="3" t="n">
        <v>349</v>
      </c>
      <c r="J66" s="2">
        <f>IF(OR(I66="",E66=""),"",ROUND(I66/E66,1))</f>
        <v/>
      </c>
      <c r="K66" s="2">
        <f>IFERROR(IF(H66="","",(H66-MIN($H$2:$H$256))/(MAX($H$2:$H$256)-MIN($H$2:$H$256))),"")</f>
        <v/>
      </c>
      <c r="L66" s="2">
        <f>IFERROR(IF(J66="","",(MAX($J$2:$J$256)-J66)/(MAX($J$2:$J$256)-MIN($J$2:$J$256))),"")</f>
        <v/>
      </c>
      <c r="M66" s="2">
        <f>IF(K66="","",ROUND(100*(Wit_quality*K66+Wit_nav*IF(L66="",0,L66)),1))</f>
        <v/>
      </c>
      <c r="N66" t="n">
        <v>69</v>
      </c>
    </row>
    <row r="67">
      <c r="A67" s="2">
        <f>IF(M67="","",RANK(M67,$M$2:$M$256))</f>
        <v/>
      </c>
      <c r="B67" t="inlineStr">
        <is>
          <t>LA PINTA</t>
        </is>
      </c>
      <c r="C67" t="inlineStr">
        <is>
          <t>Eastern Islands</t>
        </is>
      </c>
      <c r="D67" s="3" t="inlineStr">
        <is>
          <t>Thursday</t>
        </is>
      </c>
      <c r="E67" s="3" t="n">
        <v>5</v>
      </c>
      <c r="F67" t="n">
        <v>11</v>
      </c>
      <c r="G67" t="inlineStr">
        <is>
          <t>Baltra Island Airport, South Plaza Island, Santa Fe Island, San Cristóbal Island, Cerro Colorado, San Cristóbal Island, Tortoise breeding centre, San Cristóbal Island, Punta Pitt, San Cristóbal Island, Cerro Brujo, Española Island, Punta Su</t>
        </is>
      </c>
      <c r="H67" s="3" t="n">
        <v>65.40000000000001</v>
      </c>
      <c r="I67" s="3" t="n">
        <v>176.2</v>
      </c>
      <c r="J67" s="2">
        <f>IF(OR(I67="",E67=""),"",ROUND(I67/E67,1))</f>
        <v/>
      </c>
      <c r="K67" s="2">
        <f>IFERROR(IF(H67="","",(H67-MIN($H$2:$H$256))/(MAX($H$2:$H$256)-MIN($H$2:$H$256))),"")</f>
        <v/>
      </c>
      <c r="L67" s="2">
        <f>IFERROR(IF(J67="","",(MAX($J$2:$J$256)-J67)/(MAX($J$2:$J$256)-MIN($J$2:$J$256))),"")</f>
        <v/>
      </c>
      <c r="M67" s="2">
        <f>IF(K67="","",ROUND(100*(Wit_quality*K67+Wit_nav*IF(L67="",0,L67)),1))</f>
        <v/>
      </c>
      <c r="N67" t="n">
        <v>69</v>
      </c>
    </row>
    <row r="68">
      <c r="A68" s="2">
        <f>IF(M68="","",RANK(M68,$M$2:$M$256))</f>
        <v/>
      </c>
      <c r="B68" t="inlineStr">
        <is>
          <t>Eden</t>
        </is>
      </c>
      <c r="C68" t="inlineStr">
        <is>
          <t>Itinerary 2</t>
        </is>
      </c>
      <c r="D68" s="3" t="inlineStr">
        <is>
          <t>Sunday</t>
        </is>
      </c>
      <c r="E68" s="3" t="n">
        <v>8</v>
      </c>
      <c r="F68" t="n">
        <v>16</v>
      </c>
      <c r="G68" t="inlineStr">
        <is>
          <t>San Cristóbal Island Airport, San Cristóbal Island, Lobos Island, Santa Fe Island, South Plaza Island, Santa Cruz Island, Darwin Station - Tortoise Centre, Santa Cruz Island, Los Gemelos - Highlands, Isabela Island, Wetlands, Isabela Island</t>
        </is>
      </c>
      <c r="H68" s="3" t="n">
        <v>65.2</v>
      </c>
      <c r="I68" s="3" t="n">
        <v>222.4</v>
      </c>
      <c r="J68" s="2">
        <f>IF(OR(I68="",E68=""),"",ROUND(I68/E68,1))</f>
        <v/>
      </c>
      <c r="K68" s="2">
        <f>IFERROR(IF(H68="","",(H68-MIN($H$2:$H$256))/(MAX($H$2:$H$256)-MIN($H$2:$H$256))),"")</f>
        <v/>
      </c>
      <c r="L68" s="2">
        <f>IFERROR(IF(J68="","",(MAX($J$2:$J$256)-J68)/(MAX($J$2:$J$256)-MIN($J$2:$J$256))),"")</f>
        <v/>
      </c>
      <c r="M68" s="2">
        <f>IF(K68="","",ROUND(100*(Wit_quality*K68+Wit_nav*IF(L68="",0,L68)),1))</f>
        <v/>
      </c>
      <c r="N68" t="n">
        <v>69</v>
      </c>
    </row>
    <row r="69">
      <c r="A69" s="2">
        <f>IF(M69="","",RANK(M69,$M$2:$M$256))</f>
        <v/>
      </c>
      <c r="B69" t="inlineStr">
        <is>
          <t>NEMO II</t>
        </is>
      </c>
      <c r="C69" t="inlineStr">
        <is>
          <t>South Itinerary B</t>
        </is>
      </c>
      <c r="D69" s="3" t="inlineStr">
        <is>
          <t>Sunday</t>
        </is>
      </c>
      <c r="E69" s="3" t="n">
        <v>8</v>
      </c>
      <c r="F69" t="n">
        <v>16</v>
      </c>
      <c r="G69" t="inlineStr">
        <is>
          <t>Baltra Island Airport, Santa Cruz Island, Bachas Beach, South Plaza Island, Santa Fe Island, San Cristóbal Island, Cerro Brujo, San Cristóbal Island, Leon Dormido, Española Island, Punta Suarez, Española Island, Gardner Bay, Santa Cruz Isla</t>
        </is>
      </c>
      <c r="H69" s="3" t="n">
        <v>65.2</v>
      </c>
      <c r="I69" s="3" t="n">
        <v>313.4</v>
      </c>
      <c r="J69" s="2">
        <f>IF(OR(I69="",E69=""),"",ROUND(I69/E69,1))</f>
        <v/>
      </c>
      <c r="K69" s="2">
        <f>IFERROR(IF(H69="","",(H69-MIN($H$2:$H$256))/(MAX($H$2:$H$256)-MIN($H$2:$H$256))),"")</f>
        <v/>
      </c>
      <c r="L69" s="2">
        <f>IFERROR(IF(J69="","",(MAX($J$2:$J$256)-J69)/(MAX($J$2:$J$256)-MIN($J$2:$J$256))),"")</f>
        <v/>
      </c>
      <c r="M69" s="2">
        <f>IF(K69="","",ROUND(100*(Wit_quality*K69+Wit_nav*IF(L69="",0,L69)),1))</f>
        <v/>
      </c>
      <c r="N69" t="n">
        <v>65</v>
      </c>
    </row>
    <row r="70">
      <c r="A70" s="2">
        <f>IF(M70="","",RANK(M70,$M$2:$M$256))</f>
        <v/>
      </c>
      <c r="B70" t="inlineStr">
        <is>
          <t>BELUGA</t>
        </is>
      </c>
      <c r="C70" t="inlineStr">
        <is>
          <t>Española</t>
        </is>
      </c>
      <c r="D70" s="3" t="inlineStr">
        <is>
          <t>Friday</t>
        </is>
      </c>
      <c r="E70" s="3" t="n">
        <v>5</v>
      </c>
      <c r="F70" t="n">
        <v>11</v>
      </c>
      <c r="G70" t="inlineStr">
        <is>
          <t>Baltra Island Airport, Santa Cruz Island, Cerro Dragon, Santa Fe Island, South Plaza Island, San Cristóbal Island, Cerro Brujo, San Cristóbal Island, Leon Dormido, San Cristóbal Island, El Junco, Española Island, Gardner Bay, Española Islan</t>
        </is>
      </c>
      <c r="H70" s="3" t="n">
        <v>65.09999999999999</v>
      </c>
      <c r="I70" s="3" t="n">
        <v>206.8</v>
      </c>
      <c r="J70" s="2">
        <f>IF(OR(I70="",E70=""),"",ROUND(I70/E70,1))</f>
        <v/>
      </c>
      <c r="K70" s="2">
        <f>IFERROR(IF(H70="","",(H70-MIN($H$2:$H$256))/(MAX($H$2:$H$256)-MIN($H$2:$H$256))),"")</f>
        <v/>
      </c>
      <c r="L70" s="2">
        <f>IFERROR(IF(J70="","",(MAX($J$2:$J$256)-J70)/(MAX($J$2:$J$256)-MIN($J$2:$J$256))),"")</f>
        <v/>
      </c>
      <c r="M70" s="2">
        <f>IF(K70="","",ROUND(100*(Wit_quality*K70+Wit_nav*IF(L70="",0,L70)),1))</f>
        <v/>
      </c>
      <c r="N70" t="n">
        <v>68</v>
      </c>
    </row>
    <row r="71">
      <c r="A71" s="2">
        <f>IF(M71="","",RANK(M71,$M$2:$M$256))</f>
        <v/>
      </c>
      <c r="B71" t="inlineStr">
        <is>
          <t>Coral I</t>
        </is>
      </c>
      <c r="C71" t="inlineStr">
        <is>
          <t>Itinerary B</t>
        </is>
      </c>
      <c r="D71" s="3" t="inlineStr">
        <is>
          <t>Wednesday</t>
        </is>
      </c>
      <c r="E71" s="3" t="n">
        <v>5</v>
      </c>
      <c r="F71" t="n">
        <v>10</v>
      </c>
      <c r="G71" t="inlineStr">
        <is>
          <t>Baltra Island Airport, Santa Cruz Island, Los Gemelos - Highlands, Isabela, Punta Vicente Roca, Fernandina Island, Punta Espinoza, Isabela Island, Urbina Bay, Isabela Island, Tagus Cove, Santiago Island, Puerto Egas, Santiago Island, Sulliv</t>
        </is>
      </c>
      <c r="H71" s="3" t="n">
        <v>65.09999999999999</v>
      </c>
      <c r="I71" s="3" t="n">
        <v>178.1</v>
      </c>
      <c r="J71" s="2">
        <f>IF(OR(I71="",E71=""),"",ROUND(I71/E71,1))</f>
        <v/>
      </c>
      <c r="K71" s="2">
        <f>IFERROR(IF(H71="","",(H71-MIN($H$2:$H$256))/(MAX($H$2:$H$256)-MIN($H$2:$H$256))),"")</f>
        <v/>
      </c>
      <c r="L71" s="2">
        <f>IFERROR(IF(J71="","",(MAX($J$2:$J$256)-J71)/(MAX($J$2:$J$256)-MIN($J$2:$J$256))),"")</f>
        <v/>
      </c>
      <c r="M71" s="2">
        <f>IF(K71="","",ROUND(100*(Wit_quality*K71+Wit_nav*IF(L71="",0,L71)),1))</f>
        <v/>
      </c>
      <c r="N71" t="n">
        <v>68</v>
      </c>
    </row>
    <row r="72">
      <c r="A72" s="2">
        <f>IF(M72="","",RANK(M72,$M$2:$M$256))</f>
        <v/>
      </c>
      <c r="B72" t="inlineStr">
        <is>
          <t>Coral II</t>
        </is>
      </c>
      <c r="C72" t="inlineStr">
        <is>
          <t>Itinerary B</t>
        </is>
      </c>
      <c r="D72" s="3" t="inlineStr">
        <is>
          <t>Wednesday</t>
        </is>
      </c>
      <c r="E72" s="3" t="n">
        <v>5</v>
      </c>
      <c r="F72" t="n">
        <v>10</v>
      </c>
      <c r="G72" t="inlineStr">
        <is>
          <t>Baltra Island Airport, Santa Cruz Island, Los Gemelos - Highlands, Isabela, Punta Vicente Roca, Fernandina Island, Punta Espinoza, Isabela Island, Urbina Bay, Isabela Island, Tagus Cove, Santiago Island, Puerto Egas, Santiago Island, Sulliv</t>
        </is>
      </c>
      <c r="H72" s="3" t="n">
        <v>65.09999999999999</v>
      </c>
      <c r="I72" s="3" t="n">
        <v>178.1</v>
      </c>
      <c r="J72" s="2">
        <f>IF(OR(I72="",E72=""),"",ROUND(I72/E72,1))</f>
        <v/>
      </c>
      <c r="K72" s="2">
        <f>IFERROR(IF(H72="","",(H72-MIN($H$2:$H$256))/(MAX($H$2:$H$256)-MIN($H$2:$H$256))),"")</f>
        <v/>
      </c>
      <c r="L72" s="2">
        <f>IFERROR(IF(J72="","",(MAX($J$2:$J$256)-J72)/(MAX($J$2:$J$256)-MIN($J$2:$J$256))),"")</f>
        <v/>
      </c>
      <c r="M72" s="2">
        <f>IF(K72="","",ROUND(100*(Wit_quality*K72+Wit_nav*IF(L72="",0,L72)),1))</f>
        <v/>
      </c>
      <c r="N72" t="n">
        <v>68</v>
      </c>
    </row>
    <row r="73">
      <c r="A73" s="2">
        <f>IF(M73="","",RANK(M73,$M$2:$M$256))</f>
        <v/>
      </c>
      <c r="B73" t="inlineStr">
        <is>
          <t>Eden</t>
        </is>
      </c>
      <c r="C73" t="inlineStr">
        <is>
          <t>Itinerary 2B</t>
        </is>
      </c>
      <c r="D73" s="3" t="inlineStr">
        <is>
          <t>Tuesday</t>
        </is>
      </c>
      <c r="E73" s="3" t="n">
        <v>6</v>
      </c>
      <c r="F73" t="n">
        <v>12</v>
      </c>
      <c r="G73" t="inlineStr">
        <is>
          <t>Baltra Island Airport, Santa Cruz Island, Los Gemelos - Highlands, Isabela Island, Wetlands, Isabela Island, Villamil Tortoise Centre, Isabela Island, Punta Moreno, Isabela Island, Elizabeth Bay, Isabela Island, Tagus Cove, Fernandina Islan</t>
        </is>
      </c>
      <c r="H73" s="3" t="n">
        <v>65.09999999999999</v>
      </c>
      <c r="I73" s="3" t="n">
        <v>169.5</v>
      </c>
      <c r="J73" s="2">
        <f>IF(OR(I73="",E73=""),"",ROUND(I73/E73,1))</f>
        <v/>
      </c>
      <c r="K73" s="2">
        <f>IFERROR(IF(H73="","",(H73-MIN($H$2:$H$256))/(MAX($H$2:$H$256)-MIN($H$2:$H$256))),"")</f>
        <v/>
      </c>
      <c r="L73" s="2">
        <f>IFERROR(IF(J73="","",(MAX($J$2:$J$256)-J73)/(MAX($J$2:$J$256)-MIN($J$2:$J$256))),"")</f>
        <v/>
      </c>
      <c r="M73" s="2">
        <f>IF(K73="","",ROUND(100*(Wit_quality*K73+Wit_nav*IF(L73="",0,L73)),1))</f>
        <v/>
      </c>
      <c r="N73" t="n">
        <v>69</v>
      </c>
    </row>
    <row r="74">
      <c r="A74" s="2">
        <f>IF(M74="","",RANK(M74,$M$2:$M$256))</f>
        <v/>
      </c>
      <c r="B74" t="inlineStr">
        <is>
          <t>SEA MAN JOURNEY</t>
        </is>
      </c>
      <c r="C74" t="inlineStr">
        <is>
          <t>Itinerary C1</t>
        </is>
      </c>
      <c r="D74" s="3" t="inlineStr">
        <is>
          <t>Friday</t>
        </is>
      </c>
      <c r="E74" s="3" t="n">
        <v>8</v>
      </c>
      <c r="F74" t="n">
        <v>16</v>
      </c>
      <c r="G74" t="inlineStr">
        <is>
          <t>Baltra Island Airport, North Seymour Island, Genovesa Island, Prince Phillip's Steps, Genovesa Island, Darwin Bay, South Plaza Island, Santa Fe Island, San Cristóbal Island, Tortoise breeding centre, San Cristóbal Island, Interpretation Cen</t>
        </is>
      </c>
      <c r="H74" s="3" t="n">
        <v>65.09999999999999</v>
      </c>
      <c r="I74" s="3" t="n">
        <v>295.5</v>
      </c>
      <c r="J74" s="2">
        <f>IF(OR(I74="",E74=""),"",ROUND(I74/E74,1))</f>
        <v/>
      </c>
      <c r="K74" s="2">
        <f>IFERROR(IF(H74="","",(H74-MIN($H$2:$H$256))/(MAX($H$2:$H$256)-MIN($H$2:$H$256))),"")</f>
        <v/>
      </c>
      <c r="L74" s="2">
        <f>IFERROR(IF(J74="","",(MAX($J$2:$J$256)-J74)/(MAX($J$2:$J$256)-MIN($J$2:$J$256))),"")</f>
        <v/>
      </c>
      <c r="M74" s="2">
        <f>IF(K74="","",ROUND(100*(Wit_quality*K74+Wit_nav*IF(L74="",0,L74)),1))</f>
        <v/>
      </c>
      <c r="N74" t="n">
        <v>68</v>
      </c>
    </row>
    <row r="75">
      <c r="A75" s="2">
        <f>IF(M75="","",RANK(M75,$M$2:$M$256))</f>
        <v/>
      </c>
      <c r="B75" t="inlineStr">
        <is>
          <t>BELUGA</t>
        </is>
      </c>
      <c r="C75" t="inlineStr">
        <is>
          <t>Fernandina</t>
        </is>
      </c>
      <c r="D75" s="3" t="inlineStr">
        <is>
          <t>Friday</t>
        </is>
      </c>
      <c r="E75" s="3" t="n">
        <v>8</v>
      </c>
      <c r="F75" t="n">
        <v>16</v>
      </c>
      <c r="G75" t="inlineStr">
        <is>
          <t>Baltra Island Airport, Santa Cruz Island, Darwin Station - Tortoise Centre, Floreana Island, Punta Cormorant - Devil`s Crown, Floreana Island, Post Office Bay, Isabela Island, Sierra Negra, Isabela Island, Wetlands, Isabela Island, Punta Mo</t>
        </is>
      </c>
      <c r="H75" s="3" t="n">
        <v>64.90000000000001</v>
      </c>
      <c r="I75" s="3" t="n">
        <v>223.3</v>
      </c>
      <c r="J75" s="2">
        <f>IF(OR(I75="",E75=""),"",ROUND(I75/E75,1))</f>
        <v/>
      </c>
      <c r="K75" s="2">
        <f>IFERROR(IF(H75="","",(H75-MIN($H$2:$H$256))/(MAX($H$2:$H$256)-MIN($H$2:$H$256))),"")</f>
        <v/>
      </c>
      <c r="L75" s="2">
        <f>IFERROR(IF(J75="","",(MAX($J$2:$J$256)-J75)/(MAX($J$2:$J$256)-MIN($J$2:$J$256))),"")</f>
        <v/>
      </c>
      <c r="M75" s="2">
        <f>IF(K75="","",ROUND(100*(Wit_quality*K75+Wit_nav*IF(L75="",0,L75)),1))</f>
        <v/>
      </c>
      <c r="N75" t="n">
        <v>66</v>
      </c>
    </row>
    <row r="76">
      <c r="A76" s="2">
        <f>IF(M76="","",RANK(M76,$M$2:$M$256))</f>
        <v/>
      </c>
      <c r="B76" t="inlineStr">
        <is>
          <t>Fragata</t>
        </is>
      </c>
      <c r="C76" t="inlineStr">
        <is>
          <t>Itinerary B</t>
        </is>
      </c>
      <c r="D76" s="3" t="inlineStr">
        <is>
          <t>Friday</t>
        </is>
      </c>
      <c r="E76" s="3" t="n">
        <v>5</v>
      </c>
      <c r="F76" t="n">
        <v>10</v>
      </c>
      <c r="G76" t="inlineStr">
        <is>
          <t>Baltra Island Airport, Mosquera Island, Isabela, Punta Vicente Roca, Fernandina Island, Punta Espinoza, Isabela Island, Urbina Bay, Isabela Island, Tagus Cove, Santiago Island, Puerto Egas, Sombero Chino Island, Santa Cruz Island, Darwin St</t>
        </is>
      </c>
      <c r="H76" s="3" t="n">
        <v>64.90000000000001</v>
      </c>
      <c r="I76" s="3" t="n">
        <v>170.3</v>
      </c>
      <c r="J76" s="2">
        <f>IF(OR(I76="",E76=""),"",ROUND(I76/E76,1))</f>
        <v/>
      </c>
      <c r="K76" s="2">
        <f>IFERROR(IF(H76="","",(H76-MIN($H$2:$H$256))/(MAX($H$2:$H$256)-MIN($H$2:$H$256))),"")</f>
        <v/>
      </c>
      <c r="L76" s="2">
        <f>IFERROR(IF(J76="","",(MAX($J$2:$J$256)-J76)/(MAX($J$2:$J$256)-MIN($J$2:$J$256))),"")</f>
        <v/>
      </c>
      <c r="M76" s="2">
        <f>IF(K76="","",ROUND(100*(Wit_quality*K76+Wit_nav*IF(L76="",0,L76)),1))</f>
        <v/>
      </c>
      <c r="N76" t="n">
        <v>69</v>
      </c>
    </row>
    <row r="77">
      <c r="A77" s="2">
        <f>IF(M77="","",RANK(M77,$M$2:$M$256))</f>
        <v/>
      </c>
      <c r="B77" t="inlineStr">
        <is>
          <t>Golondrina</t>
        </is>
      </c>
      <c r="C77" t="inlineStr">
        <is>
          <t>Itinerary B</t>
        </is>
      </c>
      <c r="D77" s="3" t="inlineStr">
        <is>
          <t>Friday</t>
        </is>
      </c>
      <c r="E77" s="3" t="n">
        <v>5</v>
      </c>
      <c r="F77" t="n">
        <v>10</v>
      </c>
      <c r="G77" t="inlineStr">
        <is>
          <t>Baltra Island Airport, Mosquera Island, Isabela, Punta Vicente Roca, Fernandina Island, Punta Espinoza, Isabela Island, Urbina Bay, Isabela Island, Tagus Cove, Santiago Island, Puerto Egas, Sombero Chino Island, Santa Cruz Island, Darwin St</t>
        </is>
      </c>
      <c r="H77" s="3" t="n">
        <v>64.90000000000001</v>
      </c>
      <c r="I77" s="3" t="n">
        <v>170.3</v>
      </c>
      <c r="J77" s="2">
        <f>IF(OR(I77="",E77=""),"",ROUND(I77/E77,1))</f>
        <v/>
      </c>
      <c r="K77" s="2">
        <f>IFERROR(IF(H77="","",(H77-MIN($H$2:$H$256))/(MAX($H$2:$H$256)-MIN($H$2:$H$256))),"")</f>
        <v/>
      </c>
      <c r="L77" s="2">
        <f>IFERROR(IF(J77="","",(MAX($J$2:$J$256)-J77)/(MAX($J$2:$J$256)-MIN($J$2:$J$256))),"")</f>
        <v/>
      </c>
      <c r="M77" s="2">
        <f>IF(K77="","",ROUND(100*(Wit_quality*K77+Wit_nav*IF(L77="",0,L77)),1))</f>
        <v/>
      </c>
      <c r="N77" t="n">
        <v>69</v>
      </c>
    </row>
    <row r="78">
      <c r="A78" s="2">
        <f>IF(M78="","",RANK(M78,$M$2:$M$256))</f>
        <v/>
      </c>
      <c r="B78" t="inlineStr">
        <is>
          <t>Equinox</t>
        </is>
      </c>
      <c r="C78" t="inlineStr">
        <is>
          <t>Itinerary B</t>
        </is>
      </c>
      <c r="D78" s="3" t="inlineStr">
        <is>
          <t>Tuesday</t>
        </is>
      </c>
      <c r="E78" s="3" t="n">
        <v>8</v>
      </c>
      <c r="F78" t="n">
        <v>16</v>
      </c>
      <c r="G78" t="inlineStr">
        <is>
          <t>San Cristóbal Island Airport, San Cristóbal Island, Tortoise breeding centre, Santa Fe Island, South Plaza Island, Santa Cruz Island, Darwin Station - Tortoise Centre, Santa Cruz Island, Los Gemelos - Highlands, Isabela Island, Sierra Negra</t>
        </is>
      </c>
      <c r="H78" s="3" t="n">
        <v>64.8</v>
      </c>
      <c r="I78" s="3" t="n">
        <v>217.5</v>
      </c>
      <c r="J78" s="2">
        <f>IF(OR(I78="",E78=""),"",ROUND(I78/E78,1))</f>
        <v/>
      </c>
      <c r="K78" s="2">
        <f>IFERROR(IF(H78="","",(H78-MIN($H$2:$H$256))/(MAX($H$2:$H$256)-MIN($H$2:$H$256))),"")</f>
        <v/>
      </c>
      <c r="L78" s="2">
        <f>IFERROR(IF(J78="","",(MAX($J$2:$J$256)-J78)/(MAX($J$2:$J$256)-MIN($J$2:$J$256))),"")</f>
        <v/>
      </c>
      <c r="M78" s="2">
        <f>IF(K78="","",ROUND(100*(Wit_quality*K78+Wit_nav*IF(L78="",0,L78)),1))</f>
        <v/>
      </c>
      <c r="N78" t="n">
        <v>69</v>
      </c>
    </row>
    <row r="79">
      <c r="A79" s="2">
        <f>IF(M79="","",RANK(M79,$M$2:$M$256))</f>
        <v/>
      </c>
      <c r="B79" t="inlineStr">
        <is>
          <t>ARCHIPELL I</t>
        </is>
      </c>
      <c r="C79" t="inlineStr">
        <is>
          <t>Itinerary B</t>
        </is>
      </c>
      <c r="D79" s="3" t="inlineStr">
        <is>
          <t>Monday</t>
        </is>
      </c>
      <c r="E79" s="3" t="n">
        <v>8</v>
      </c>
      <c r="F79" t="n">
        <v>16</v>
      </c>
      <c r="G79" t="inlineStr">
        <is>
          <t xml:space="preserve">Baltra Island Airport, North Seymour Island, Genovesa Island, Prince Phillip's Steps, Genovesa Island, Darwin Bay, Bartolomé Island, Santiago Island, Sullivan Bay, Santa Cruz Island, Darwin Station - Tortoise Centre, Santa Cruz Island, Los </t>
        </is>
      </c>
      <c r="H79" s="3" t="n">
        <v>64.7</v>
      </c>
      <c r="I79" s="3" t="n">
        <v>266</v>
      </c>
      <c r="J79" s="2">
        <f>IF(OR(I79="",E79=""),"",ROUND(I79/E79,1))</f>
        <v/>
      </c>
      <c r="K79" s="2">
        <f>IFERROR(IF(H79="","",(H79-MIN($H$2:$H$256))/(MAX($H$2:$H$256)-MIN($H$2:$H$256))),"")</f>
        <v/>
      </c>
      <c r="L79" s="2">
        <f>IFERROR(IF(J79="","",(MAX($J$2:$J$256)-J79)/(MAX($J$2:$J$256)-MIN($J$2:$J$256))),"")</f>
        <v/>
      </c>
      <c r="M79" s="2">
        <f>IF(K79="","",ROUND(100*(Wit_quality*K79+Wit_nav*IF(L79="",0,L79)),1))</f>
        <v/>
      </c>
      <c r="N79" t="n">
        <v>67</v>
      </c>
    </row>
    <row r="80">
      <c r="A80" s="2">
        <f>IF(M80="","",RANK(M80,$M$2:$M$256))</f>
        <v/>
      </c>
      <c r="B80" t="inlineStr">
        <is>
          <t>NEMO III</t>
        </is>
      </c>
      <c r="C80" t="inlineStr">
        <is>
          <t>Itinerary A</t>
        </is>
      </c>
      <c r="D80" s="3" t="inlineStr">
        <is>
          <t>Sunday</t>
        </is>
      </c>
      <c r="E80" s="3" t="n">
        <v>8</v>
      </c>
      <c r="F80" t="n">
        <v>16</v>
      </c>
      <c r="G80" t="inlineStr">
        <is>
          <t xml:space="preserve">Baltra Island Airport, Santa Cruz Island, Bachas Beach, Genovesa Island, Prince Phillip's Steps, Genovesa Island, Darwin Bay, Santiago Island, Sullivan Bay, Santa Cruz Island, Cerro Dragon, Santa Cruz Island, Los Gemelos - Highlands, Santa </t>
        </is>
      </c>
      <c r="H80" s="3" t="n">
        <v>64.7</v>
      </c>
      <c r="I80" s="3" t="n">
        <v>314.4</v>
      </c>
      <c r="J80" s="2">
        <f>IF(OR(I80="",E80=""),"",ROUND(I80/E80,1))</f>
        <v/>
      </c>
      <c r="K80" s="2">
        <f>IFERROR(IF(H80="","",(H80-MIN($H$2:$H$256))/(MAX($H$2:$H$256)-MIN($H$2:$H$256))),"")</f>
        <v/>
      </c>
      <c r="L80" s="2">
        <f>IFERROR(IF(J80="","",(MAX($J$2:$J$256)-J80)/(MAX($J$2:$J$256)-MIN($J$2:$J$256))),"")</f>
        <v/>
      </c>
      <c r="M80" s="2">
        <f>IF(K80="","",ROUND(100*(Wit_quality*K80+Wit_nav*IF(L80="",0,L80)),1))</f>
        <v/>
      </c>
      <c r="N80" t="n">
        <v>65</v>
      </c>
    </row>
    <row r="81">
      <c r="A81" s="2">
        <f>IF(M81="","",RANK(M81,$M$2:$M$256))</f>
        <v/>
      </c>
      <c r="B81" t="inlineStr">
        <is>
          <t>ANAHI</t>
        </is>
      </c>
      <c r="C81" t="inlineStr">
        <is>
          <t>C (11 Days)</t>
        </is>
      </c>
      <c r="D81" s="3" t="inlineStr">
        <is>
          <t>Unknown</t>
        </is>
      </c>
      <c r="E81" s="3" t="n"/>
      <c r="F81" t="n">
        <v>24</v>
      </c>
      <c r="G81" t="inlineStr">
        <is>
          <t>San Cristóbal Island Airport, San Cristóbal Island, Interpretation Centre, San Cristóbal Island, Cerro Tijeretas, Española Island, Punta Suarez, Española Island, Gardner Bay, Floreana Island, Punta Cormorant - Devil`s Crown, Floreana Island</t>
        </is>
      </c>
      <c r="H81" s="3" t="n">
        <v>64.59999999999999</v>
      </c>
      <c r="I81" s="3" t="n">
        <v>287.7</v>
      </c>
      <c r="J81" s="2">
        <f>IF(OR(I81="",E81=""),"",ROUND(I81/E81,1))</f>
        <v/>
      </c>
      <c r="K81" s="2">
        <f>IFERROR(IF(H81="","",(H81-MIN($H$2:$H$256))/(MAX($H$2:$H$256)-MIN($H$2:$H$256))),"")</f>
        <v/>
      </c>
      <c r="L81" s="2">
        <f>IFERROR(IF(J81="","",(MAX($J$2:$J$256)-J81)/(MAX($J$2:$J$256)-MIN($J$2:$J$256))),"")</f>
        <v/>
      </c>
      <c r="M81" s="2">
        <f>IF(K81="","",ROUND(100*(Wit_quality*K81+Wit_nav*IF(L81="",0,L81)),1))</f>
        <v/>
      </c>
      <c r="N81" t="n">
        <v>66</v>
      </c>
    </row>
    <row r="82">
      <c r="A82" s="2">
        <f>IF(M82="","",RANK(M82,$M$2:$M$256))</f>
        <v/>
      </c>
      <c r="B82" t="inlineStr">
        <is>
          <t>SANTA CRUZ II</t>
        </is>
      </c>
      <c r="C82" t="inlineStr">
        <is>
          <t>Eastern Islands</t>
        </is>
      </c>
      <c r="D82" s="3" t="inlineStr">
        <is>
          <t>Friday</t>
        </is>
      </c>
      <c r="E82" s="3" t="n">
        <v>7</v>
      </c>
      <c r="F82" t="n">
        <v>13</v>
      </c>
      <c r="G82" t="inlineStr">
        <is>
          <t>Baltra Island Airport, Mosquera Island, San Cristóbal Island, Tortoise breeding centre, San Cristóbal Island, Punta Pitt, Santa Fe Island, South Plaza Island, Santa Cruz Island, Darwin Station - Tortoise Centre, Santa Cruz Island, Darwin St</t>
        </is>
      </c>
      <c r="H82" s="3" t="n">
        <v>64.5</v>
      </c>
      <c r="I82" s="3" t="n">
        <v>261.8</v>
      </c>
      <c r="J82" s="2">
        <f>IF(OR(I82="",E82=""),"",ROUND(I82/E82,1))</f>
        <v/>
      </c>
      <c r="K82" s="2">
        <f>IFERROR(IF(H82="","",(H82-MIN($H$2:$H$256))/(MAX($H$2:$H$256)-MIN($H$2:$H$256))),"")</f>
        <v/>
      </c>
      <c r="L82" s="2">
        <f>IFERROR(IF(J82="","",(MAX($J$2:$J$256)-J82)/(MAX($J$2:$J$256)-MIN($J$2:$J$256))),"")</f>
        <v/>
      </c>
      <c r="M82" s="2">
        <f>IF(K82="","",ROUND(100*(Wit_quality*K82+Wit_nav*IF(L82="",0,L82)),1))</f>
        <v/>
      </c>
      <c r="N82" t="n">
        <v>67</v>
      </c>
    </row>
    <row r="83">
      <c r="A83" s="2">
        <f>IF(M83="","",RANK(M83,$M$2:$M$256))</f>
        <v/>
      </c>
      <c r="B83" t="inlineStr">
        <is>
          <t>TIP TOP II</t>
        </is>
      </c>
      <c r="C83" t="inlineStr">
        <is>
          <t>Option 1</t>
        </is>
      </c>
      <c r="D83" s="3" t="inlineStr">
        <is>
          <t>Friday</t>
        </is>
      </c>
      <c r="E83" s="3" t="n">
        <v>8</v>
      </c>
      <c r="F83" t="n">
        <v>16</v>
      </c>
      <c r="G83" t="inlineStr">
        <is>
          <t>Baltra Island Airport, Mosquera Island, Santiago Island, Sullivan Bay, Rábida Island, Fernandina Island, Punta Espinoza, Isabela Island, Elizabeth Bay, Isabela Island, Urbina Bay, Isabela Island, Tagus Cove, Santiago Island, Puerto Egas, Ba</t>
        </is>
      </c>
      <c r="H83" s="3" t="n">
        <v>64.5</v>
      </c>
      <c r="I83" s="3" t="n">
        <v>291.8</v>
      </c>
      <c r="J83" s="2">
        <f>IF(OR(I83="",E83=""),"",ROUND(I83/E83,1))</f>
        <v/>
      </c>
      <c r="K83" s="2">
        <f>IFERROR(IF(H83="","",(H83-MIN($H$2:$H$256))/(MAX($H$2:$H$256)-MIN($H$2:$H$256))),"")</f>
        <v/>
      </c>
      <c r="L83" s="2">
        <f>IFERROR(IF(J83="","",(MAX($J$2:$J$256)-J83)/(MAX($J$2:$J$256)-MIN($J$2:$J$256))),"")</f>
        <v/>
      </c>
      <c r="M83" s="2">
        <f>IF(K83="","",ROUND(100*(Wit_quality*K83+Wit_nav*IF(L83="",0,L83)),1))</f>
        <v/>
      </c>
      <c r="N83" t="n">
        <v>66</v>
      </c>
    </row>
    <row r="84">
      <c r="A84" s="2">
        <f>IF(M84="","",RANK(M84,$M$2:$M$256))</f>
        <v/>
      </c>
      <c r="B84" t="inlineStr">
        <is>
          <t>ANAHI</t>
        </is>
      </c>
      <c r="C84" t="inlineStr">
        <is>
          <t>Itinerary B2 (East)</t>
        </is>
      </c>
      <c r="D84" s="3" t="inlineStr">
        <is>
          <t>Friday</t>
        </is>
      </c>
      <c r="E84" s="3" t="n">
        <v>8</v>
      </c>
      <c r="F84" t="n">
        <v>17</v>
      </c>
      <c r="G84" t="inlineStr">
        <is>
          <t>Baltra Island Airport, Santa Cruz Island, Bachas Beach, Genovesa Island, Darwin Bay, Genovesa Island, Prince Phillip's Steps, South Plaza Island, Santa Fe Island, San Cristóbal Island, Punta Pitt, San Cristóbal Island, Leon Dormido, San Cri</t>
        </is>
      </c>
      <c r="H84" s="3" t="n">
        <v>64.40000000000001</v>
      </c>
      <c r="I84" s="3" t="n">
        <v>319.8</v>
      </c>
      <c r="J84" s="2">
        <f>IF(OR(I84="",E84=""),"",ROUND(I84/E84,1))</f>
        <v/>
      </c>
      <c r="K84" s="2">
        <f>IFERROR(IF(H84="","",(H84-MIN($H$2:$H$256))/(MAX($H$2:$H$256)-MIN($H$2:$H$256))),"")</f>
        <v/>
      </c>
      <c r="L84" s="2">
        <f>IFERROR(IF(J84="","",(MAX($J$2:$J$256)-J84)/(MAX($J$2:$J$256)-MIN($J$2:$J$256))),"")</f>
        <v/>
      </c>
      <c r="M84" s="2">
        <f>IF(K84="","",ROUND(100*(Wit_quality*K84+Wit_nav*IF(L84="",0,L84)),1))</f>
        <v/>
      </c>
      <c r="N84" t="n">
        <v>66</v>
      </c>
    </row>
    <row r="85">
      <c r="A85" s="2">
        <f>IF(M85="","",RANK(M85,$M$2:$M$256))</f>
        <v/>
      </c>
      <c r="B85" t="inlineStr">
        <is>
          <t>Evolution</t>
        </is>
      </c>
      <c r="C85" t="inlineStr">
        <is>
          <t>Itinerary A</t>
        </is>
      </c>
      <c r="D85" s="3" t="inlineStr">
        <is>
          <t>Saturday</t>
        </is>
      </c>
      <c r="E85" s="3" t="n">
        <v>8</v>
      </c>
      <c r="F85" t="n">
        <v>16</v>
      </c>
      <c r="G85" t="inlineStr">
        <is>
          <t>Baltra Island Airport, Daphne Major circumnavigation, Isabela, Punta Vicente Roca, Fernandina Island, Punta Espinoza, Isabela Island, Urbina Bay, Isabela Island, Tagus Cove, Bartolomé Island, Santiago Island, Sullivan Bay, Santa Cruz Island</t>
        </is>
      </c>
      <c r="H85" s="3" t="n">
        <v>64.3</v>
      </c>
      <c r="I85" s="3" t="n">
        <v>325</v>
      </c>
      <c r="J85" s="2">
        <f>IF(OR(I85="",E85=""),"",ROUND(I85/E85,1))</f>
        <v/>
      </c>
      <c r="K85" s="2">
        <f>IFERROR(IF(H85="","",(H85-MIN($H$2:$H$256))/(MAX($H$2:$H$256)-MIN($H$2:$H$256))),"")</f>
        <v/>
      </c>
      <c r="L85" s="2">
        <f>IFERROR(IF(J85="","",(MAX($J$2:$J$256)-J85)/(MAX($J$2:$J$256)-MIN($J$2:$J$256))),"")</f>
        <v/>
      </c>
      <c r="M85" s="2">
        <f>IF(K85="","",ROUND(100*(Wit_quality*K85+Wit_nav*IF(L85="",0,L85)),1))</f>
        <v/>
      </c>
      <c r="N85" t="n">
        <v>68</v>
      </c>
    </row>
    <row r="86">
      <c r="A86" s="2">
        <f>IF(M86="","",RANK(M86,$M$2:$M$256))</f>
        <v/>
      </c>
      <c r="B86" t="inlineStr">
        <is>
          <t>Fragata</t>
        </is>
      </c>
      <c r="C86" t="inlineStr">
        <is>
          <t>Itinerary D</t>
        </is>
      </c>
      <c r="D86" s="3" t="inlineStr">
        <is>
          <t>Friday</t>
        </is>
      </c>
      <c r="E86" s="3" t="n">
        <v>8</v>
      </c>
      <c r="F86" t="n">
        <v>17</v>
      </c>
      <c r="G86" t="inlineStr">
        <is>
          <t>Baltra Island Airport, Mosquera Island, Isabela, Punta Vicente Roca, Fernandina Island, Punta Espinoza, Isabela Island, Urbina Bay, Isabela Island, Tagus Cove, Santiago Island, Puerto Egas, Sombero Chino Island, Santa Cruz Island, Darwin St</t>
        </is>
      </c>
      <c r="H86" s="3" t="n">
        <v>64.3</v>
      </c>
      <c r="I86" s="3" t="n">
        <v>267.2</v>
      </c>
      <c r="J86" s="2">
        <f>IF(OR(I86="",E86=""),"",ROUND(I86/E86,1))</f>
        <v/>
      </c>
      <c r="K86" s="2">
        <f>IFERROR(IF(H86="","",(H86-MIN($H$2:$H$256))/(MAX($H$2:$H$256)-MIN($H$2:$H$256))),"")</f>
        <v/>
      </c>
      <c r="L86" s="2">
        <f>IFERROR(IF(J86="","",(MAX($J$2:$J$256)-J86)/(MAX($J$2:$J$256)-MIN($J$2:$J$256))),"")</f>
        <v/>
      </c>
      <c r="M86" s="2">
        <f>IF(K86="","",ROUND(100*(Wit_quality*K86+Wit_nav*IF(L86="",0,L86)),1))</f>
        <v/>
      </c>
      <c r="N86" t="n">
        <v>65</v>
      </c>
    </row>
    <row r="87">
      <c r="A87" s="2">
        <f>IF(M87="","",RANK(M87,$M$2:$M$256))</f>
        <v/>
      </c>
      <c r="B87" t="inlineStr">
        <is>
          <t>Golondrina</t>
        </is>
      </c>
      <c r="C87" t="inlineStr">
        <is>
          <t>Itinerary D</t>
        </is>
      </c>
      <c r="D87" s="3" t="inlineStr">
        <is>
          <t>Friday</t>
        </is>
      </c>
      <c r="E87" s="3" t="n">
        <v>8</v>
      </c>
      <c r="F87" t="n">
        <v>17</v>
      </c>
      <c r="G87" t="inlineStr">
        <is>
          <t>Baltra Island Airport, Mosquera Island, Isabela, Punta Vicente Roca, Fernandina Island, Punta Espinoza, Isabela Island, Urbina Bay, Isabela Island, Tagus Cove, Santiago Island, Puerto Egas, Sombero Chino Island, Santa Cruz Island, Darwin St</t>
        </is>
      </c>
      <c r="H87" s="3" t="n">
        <v>64.3</v>
      </c>
      <c r="I87" s="3" t="n">
        <v>267.2</v>
      </c>
      <c r="J87" s="2">
        <f>IF(OR(I87="",E87=""),"",ROUND(I87/E87,1))</f>
        <v/>
      </c>
      <c r="K87" s="2">
        <f>IFERROR(IF(H87="","",(H87-MIN($H$2:$H$256))/(MAX($H$2:$H$256)-MIN($H$2:$H$256))),"")</f>
        <v/>
      </c>
      <c r="L87" s="2">
        <f>IFERROR(IF(J87="","",(MAX($J$2:$J$256)-J87)/(MAX($J$2:$J$256)-MIN($J$2:$J$256))),"")</f>
        <v/>
      </c>
      <c r="M87" s="2">
        <f>IF(K87="","",ROUND(100*(Wit_quality*K87+Wit_nav*IF(L87="",0,L87)),1))</f>
        <v/>
      </c>
      <c r="N87" t="n">
        <v>65</v>
      </c>
    </row>
    <row r="88">
      <c r="A88" s="2">
        <f>IF(M88="","",RANK(M88,$M$2:$M$256))</f>
        <v/>
      </c>
      <c r="B88" t="inlineStr">
        <is>
          <t>YOLITA II</t>
        </is>
      </c>
      <c r="C88" t="inlineStr">
        <is>
          <t>Itinerary A</t>
        </is>
      </c>
      <c r="D88" s="3" t="inlineStr">
        <is>
          <t>Sunday</t>
        </is>
      </c>
      <c r="E88" s="3" t="n">
        <v>8</v>
      </c>
      <c r="F88" t="n">
        <v>16</v>
      </c>
      <c r="G88" t="inlineStr">
        <is>
          <t>Baltra Island Airport, Santa Cruz Island, Bachas Beach, Genovesa Island, Darwin Bay, Genovesa Island, Prince Phillip's Steps, Bartolomé Island, Santiago Island, Sullivan Bay, Isabela Island, Sierra Negra, Isabela Island, Villamil Tortoise C</t>
        </is>
      </c>
      <c r="H88" s="3" t="n">
        <v>64.3</v>
      </c>
      <c r="I88" s="3" t="n">
        <v>272.9</v>
      </c>
      <c r="J88" s="2">
        <f>IF(OR(I88="",E88=""),"",ROUND(I88/E88,1))</f>
        <v/>
      </c>
      <c r="K88" s="2">
        <f>IFERROR(IF(H88="","",(H88-MIN($H$2:$H$256))/(MAX($H$2:$H$256)-MIN($H$2:$H$256))),"")</f>
        <v/>
      </c>
      <c r="L88" s="2">
        <f>IFERROR(IF(J88="","",(MAX($J$2:$J$256)-J88)/(MAX($J$2:$J$256)-MIN($J$2:$J$256))),"")</f>
        <v/>
      </c>
      <c r="M88" s="2">
        <f>IF(K88="","",ROUND(100*(Wit_quality*K88+Wit_nav*IF(L88="",0,L88)),1))</f>
        <v/>
      </c>
      <c r="N88" t="n">
        <v>65</v>
      </c>
    </row>
    <row r="89">
      <c r="A89" s="2">
        <f>IF(M89="","",RANK(M89,$M$2:$M$256))</f>
        <v/>
      </c>
      <c r="B89" t="inlineStr">
        <is>
          <t>Aqua</t>
        </is>
      </c>
      <c r="C89" t="inlineStr">
        <is>
          <t>B 8Days</t>
        </is>
      </c>
      <c r="D89" s="3" t="inlineStr">
        <is>
          <t>Tuesday</t>
        </is>
      </c>
      <c r="E89" s="3" t="n">
        <v>8</v>
      </c>
      <c r="F89" t="n">
        <v>14</v>
      </c>
      <c r="G89" t="inlineStr">
        <is>
          <t xml:space="preserve">Baltra Island Airport, North Seymour Island, South Plaza Island, Santa Fe Island, Santa Cruz Island, Darwin Station - Tortoise Centre, Floreana Island, Punta Cormorant - Devil`s Crown, Santa Cruz Island, Cerro Dragon, Sombero Chino Island, </t>
        </is>
      </c>
      <c r="H89" s="3" t="n">
        <v>64.2</v>
      </c>
      <c r="I89" s="3" t="n">
        <v>204.9</v>
      </c>
      <c r="J89" s="2">
        <f>IF(OR(I89="",E89=""),"",ROUND(I89/E89,1))</f>
        <v/>
      </c>
      <c r="K89" s="2">
        <f>IFERROR(IF(H89="","",(H89-MIN($H$2:$H$256))/(MAX($H$2:$H$256)-MIN($H$2:$H$256))),"")</f>
        <v/>
      </c>
      <c r="L89" s="2">
        <f>IFERROR(IF(J89="","",(MAX($J$2:$J$256)-J89)/(MAX($J$2:$J$256)-MIN($J$2:$J$256))),"")</f>
        <v/>
      </c>
      <c r="M89" s="2">
        <f>IF(K89="","",ROUND(100*(Wit_quality*K89+Wit_nav*IF(L89="",0,L89)),1))</f>
        <v/>
      </c>
      <c r="N89" t="n">
        <v>66</v>
      </c>
    </row>
    <row r="90">
      <c r="A90" s="2">
        <f>IF(M90="","",RANK(M90,$M$2:$M$256))</f>
        <v/>
      </c>
      <c r="B90" t="inlineStr">
        <is>
          <t>ARCHIPELL II</t>
        </is>
      </c>
      <c r="C90" t="inlineStr">
        <is>
          <t>Itinerary B1</t>
        </is>
      </c>
      <c r="D90" s="3" t="inlineStr">
        <is>
          <t>Monday</t>
        </is>
      </c>
      <c r="E90" s="3" t="n">
        <v>5</v>
      </c>
      <c r="F90" t="n">
        <v>10</v>
      </c>
      <c r="G90" t="inlineStr">
        <is>
          <t>Baltra Island Airport, North Seymour Island, Genovesa Island, Prince Phillip's Steps, Genovesa Island, Darwin Bay, Bartolomé Island, Santiago Island, Sullivan Bay, Santa Cruz Island, Darwin Station - Tortoise Centre, Santa Cruz Island, El C</t>
        </is>
      </c>
      <c r="H90" s="3" t="n">
        <v>64.2</v>
      </c>
      <c r="I90" s="3" t="n">
        <v>154.8</v>
      </c>
      <c r="J90" s="2">
        <f>IF(OR(I90="",E90=""),"",ROUND(I90/E90,1))</f>
        <v/>
      </c>
      <c r="K90" s="2">
        <f>IFERROR(IF(H90="","",(H90-MIN($H$2:$H$256))/(MAX($H$2:$H$256)-MIN($H$2:$H$256))),"")</f>
        <v/>
      </c>
      <c r="L90" s="2">
        <f>IFERROR(IF(J90="","",(MAX($J$2:$J$256)-J90)/(MAX($J$2:$J$256)-MIN($J$2:$J$256))),"")</f>
        <v/>
      </c>
      <c r="M90" s="2">
        <f>IF(K90="","",ROUND(100*(Wit_quality*K90+Wit_nav*IF(L90="",0,L90)),1))</f>
        <v/>
      </c>
      <c r="N90" t="n">
        <v>69</v>
      </c>
    </row>
    <row r="91">
      <c r="A91" s="2">
        <f>IF(M91="","",RANK(M91,$M$2:$M$256))</f>
        <v/>
      </c>
      <c r="B91" t="inlineStr">
        <is>
          <t>Darwin</t>
        </is>
      </c>
      <c r="C91" t="inlineStr">
        <is>
          <t>8b</t>
        </is>
      </c>
      <c r="D91" s="3" t="inlineStr">
        <is>
          <t>Thursday</t>
        </is>
      </c>
      <c r="E91" s="3" t="n">
        <v>8</v>
      </c>
      <c r="F91" t="n">
        <v>16</v>
      </c>
      <c r="G91" t="inlineStr">
        <is>
          <t>Baltra Island Airport, Mosquera Island, South Plaza Island, Santa Fe Island, Española Island, Gardner Bay, Española Island, Punta Suarez, Floreana Island, Post Office Bay, Floreana Island, Punta Cormorant - Devil`s Crown, Santa Cruz Island,</t>
        </is>
      </c>
      <c r="H91" s="3" t="n">
        <v>64.2</v>
      </c>
      <c r="I91" s="3" t="n">
        <v>239</v>
      </c>
      <c r="J91" s="2">
        <f>IF(OR(I91="",E91=""),"",ROUND(I91/E91,1))</f>
        <v/>
      </c>
      <c r="K91" s="2">
        <f>IFERROR(IF(H91="","",(H91-MIN($H$2:$H$256))/(MAX($H$2:$H$256)-MIN($H$2:$H$256))),"")</f>
        <v/>
      </c>
      <c r="L91" s="2">
        <f>IFERROR(IF(J91="","",(MAX($J$2:$J$256)-J91)/(MAX($J$2:$J$256)-MIN($J$2:$J$256))),"")</f>
        <v/>
      </c>
      <c r="M91" s="2">
        <f>IF(K91="","",ROUND(100*(Wit_quality*K91+Wit_nav*IF(L91="",0,L91)),1))</f>
        <v/>
      </c>
      <c r="N91" t="n">
        <v>65</v>
      </c>
    </row>
    <row r="92">
      <c r="A92" s="2">
        <f>IF(M92="","",RANK(M92,$M$2:$M$256))</f>
        <v/>
      </c>
      <c r="B92" t="inlineStr">
        <is>
          <t>ANAHI</t>
        </is>
      </c>
      <c r="C92" t="inlineStr">
        <is>
          <t>Itinerary A2</t>
        </is>
      </c>
      <c r="D92" s="3" t="inlineStr">
        <is>
          <t>Friday</t>
        </is>
      </c>
      <c r="E92" s="3" t="n">
        <v>5</v>
      </c>
      <c r="F92" t="n">
        <v>10</v>
      </c>
      <c r="G92" t="inlineStr">
        <is>
          <t>Baltra Island Airport, Santa Cruz Island, Bachas Beach, Genovesa Island, Darwin Bay, Genovesa Island, Prince Phillip's Steps, South Plaza Island, Santa Fe Island, San Cristóbal Island, Punta Pitt, San Cristóbal Island, Leon Dormido, San Cri</t>
        </is>
      </c>
      <c r="H92" s="3" t="n">
        <v>64.09999999999999</v>
      </c>
      <c r="I92" s="3" t="n">
        <v>183.9</v>
      </c>
      <c r="J92" s="2">
        <f>IF(OR(I92="",E92=""),"",ROUND(I92/E92,1))</f>
        <v/>
      </c>
      <c r="K92" s="2">
        <f>IFERROR(IF(H92="","",(H92-MIN($H$2:$H$256))/(MAX($H$2:$H$256)-MIN($H$2:$H$256))),"")</f>
        <v/>
      </c>
      <c r="L92" s="2">
        <f>IFERROR(IF(J92="","",(MAX($J$2:$J$256)-J92)/(MAX($J$2:$J$256)-MIN($J$2:$J$256))),"")</f>
        <v/>
      </c>
      <c r="M92" s="2">
        <f>IF(K92="","",ROUND(100*(Wit_quality*K92+Wit_nav*IF(L92="",0,L92)),1))</f>
        <v/>
      </c>
      <c r="N92" t="n">
        <v>70</v>
      </c>
    </row>
    <row r="93">
      <c r="A93" s="2">
        <f>IF(M93="","",RANK(M93,$M$2:$M$256))</f>
        <v/>
      </c>
      <c r="B93" t="inlineStr">
        <is>
          <t>NATURAL PARADISE</t>
        </is>
      </c>
      <c r="C93" t="inlineStr">
        <is>
          <t>Itinerary A</t>
        </is>
      </c>
      <c r="D93" s="3" t="inlineStr">
        <is>
          <t>Tuesday</t>
        </is>
      </c>
      <c r="E93" s="3" t="n">
        <v>8</v>
      </c>
      <c r="F93" t="n">
        <v>16</v>
      </c>
      <c r="G93" t="inlineStr">
        <is>
          <t>San Cristóbal Island Airport, San Cristóbal Island, Leon Dormido, North Seymour Island, South Plaza Island, Rábida Island, Bartolomé Island, Santiago Island, Sullivan Bay, Santa Cruz Island, Cerro Dragon, Santa Cruz Island, Los Gemelos - Hi</t>
        </is>
      </c>
      <c r="H93" s="3" t="n">
        <v>64.09999999999999</v>
      </c>
      <c r="I93" s="3" t="n">
        <v>322.7</v>
      </c>
      <c r="J93" s="2">
        <f>IF(OR(I93="",E93=""),"",ROUND(I93/E93,1))</f>
        <v/>
      </c>
      <c r="K93" s="2">
        <f>IFERROR(IF(H93="","",(H93-MIN($H$2:$H$256))/(MAX($H$2:$H$256)-MIN($H$2:$H$256))),"")</f>
        <v/>
      </c>
      <c r="L93" s="2">
        <f>IFERROR(IF(J93="","",(MAX($J$2:$J$256)-J93)/(MAX($J$2:$J$256)-MIN($J$2:$J$256))),"")</f>
        <v/>
      </c>
      <c r="M93" s="2">
        <f>IF(K93="","",ROUND(100*(Wit_quality*K93+Wit_nav*IF(L93="",0,L93)),1))</f>
        <v/>
      </c>
      <c r="N93" t="n">
        <v>66</v>
      </c>
    </row>
    <row r="94">
      <c r="A94" s="2">
        <f>IF(M94="","",RANK(M94,$M$2:$M$256))</f>
        <v/>
      </c>
      <c r="B94" t="inlineStr">
        <is>
          <t>OCEAN SPRAY</t>
        </is>
      </c>
      <c r="C94" t="inlineStr">
        <is>
          <t>Itinerary B5</t>
        </is>
      </c>
      <c r="D94" s="3" t="inlineStr">
        <is>
          <t>Tuesday</t>
        </is>
      </c>
      <c r="E94" s="3" t="n">
        <v>5</v>
      </c>
      <c r="F94" t="n">
        <v>10</v>
      </c>
      <c r="G94" t="inlineStr">
        <is>
          <t>Baltra Island Airport, Bartolomé Island, Genovesa Island, Darwin Bay, Genovesa Island, Prince Phillip's Steps, Santiago Island, Espumilla Beach, Santiago Island, Puerto Egas, North Seymour Island, Santa Cruz Island, Los Gemelos - Highlands,</t>
        </is>
      </c>
      <c r="H94" s="3" t="n">
        <v>64.09999999999999</v>
      </c>
      <c r="I94" s="3" t="n">
        <v>184.4</v>
      </c>
      <c r="J94" s="2">
        <f>IF(OR(I94="",E94=""),"",ROUND(I94/E94,1))</f>
        <v/>
      </c>
      <c r="K94" s="2">
        <f>IFERROR(IF(H94="","",(H94-MIN($H$2:$H$256))/(MAX($H$2:$H$256)-MIN($H$2:$H$256))),"")</f>
        <v/>
      </c>
      <c r="L94" s="2">
        <f>IFERROR(IF(J94="","",(MAX($J$2:$J$256)-J94)/(MAX($J$2:$J$256)-MIN($J$2:$J$256))),"")</f>
        <v/>
      </c>
      <c r="M94" s="2">
        <f>IF(K94="","",ROUND(100*(Wit_quality*K94+Wit_nav*IF(L94="",0,L94)),1))</f>
        <v/>
      </c>
      <c r="N94" t="n">
        <v>68</v>
      </c>
    </row>
    <row r="95">
      <c r="A95" s="2">
        <f>IF(M95="","",RANK(M95,$M$2:$M$256))</f>
        <v/>
      </c>
      <c r="B95" t="inlineStr">
        <is>
          <t>SAMBA</t>
        </is>
      </c>
      <c r="C95" t="inlineStr">
        <is>
          <t>South East</t>
        </is>
      </c>
      <c r="D95" s="3" t="inlineStr">
        <is>
          <t>Tuesday</t>
        </is>
      </c>
      <c r="E95" s="3" t="n">
        <v>8</v>
      </c>
      <c r="F95" t="n">
        <v>19</v>
      </c>
      <c r="G95" t="inlineStr">
        <is>
          <t>Baltra Island Airport, Santa Cruz Island, Darwin Station - Tortoise Centre, Floreana Island, Punta Cormorant - Champion Islet, Floreana Island, Post Office Bay, Floreana Island, Baroness' lookout, Española Island, Punta Suarez, Española Isl</t>
        </is>
      </c>
      <c r="H95" s="3" t="n">
        <v>64.09999999999999</v>
      </c>
      <c r="I95" s="3" t="n">
        <v>290.7</v>
      </c>
      <c r="J95" s="2">
        <f>IF(OR(I95="",E95=""),"",ROUND(I95/E95,1))</f>
        <v/>
      </c>
      <c r="K95" s="2">
        <f>IFERROR(IF(H95="","",(H95-MIN($H$2:$H$256))/(MAX($H$2:$H$256)-MIN($H$2:$H$256))),"")</f>
        <v/>
      </c>
      <c r="L95" s="2">
        <f>IFERROR(IF(J95="","",(MAX($J$2:$J$256)-J95)/(MAX($J$2:$J$256)-MIN($J$2:$J$256))),"")</f>
        <v/>
      </c>
      <c r="M95" s="2">
        <f>IF(K95="","",ROUND(100*(Wit_quality*K95+Wit_nav*IF(L95="",0,L95)),1))</f>
        <v/>
      </c>
      <c r="N95" t="n">
        <v>64</v>
      </c>
    </row>
    <row r="96">
      <c r="A96" s="2">
        <f>IF(M96="","",RANK(M96,$M$2:$M$256))</f>
        <v/>
      </c>
      <c r="B96" t="inlineStr">
        <is>
          <t>Coral I</t>
        </is>
      </c>
      <c r="C96" t="inlineStr">
        <is>
          <t>Itinerary A + B</t>
        </is>
      </c>
      <c r="D96" s="3" t="inlineStr">
        <is>
          <t>Sunday</t>
        </is>
      </c>
      <c r="E96" s="3" t="n">
        <v>8</v>
      </c>
      <c r="F96" t="n">
        <v>17</v>
      </c>
      <c r="G96" t="inlineStr">
        <is>
          <t>Baltra Island Airport, Santa Cruz Island, Darwin Station - Tortoise Centre, Santa Cruz Island, Cerro Dragon, Bartolomé Island, Rábida Island, Santiago Island, Buccaneer Cove, Santiago Island, Espumilla Beach, Santa Cruz Island, Black Turtle</t>
        </is>
      </c>
      <c r="H96" s="3" t="n">
        <v>64</v>
      </c>
      <c r="I96" s="3" t="n">
        <v>254.1</v>
      </c>
      <c r="J96" s="2">
        <f>IF(OR(I96="",E96=""),"",ROUND(I96/E96,1))</f>
        <v/>
      </c>
      <c r="K96" s="2">
        <f>IFERROR(IF(H96="","",(H96-MIN($H$2:$H$256))/(MAX($H$2:$H$256)-MIN($H$2:$H$256))),"")</f>
        <v/>
      </c>
      <c r="L96" s="2">
        <f>IFERROR(IF(J96="","",(MAX($J$2:$J$256)-J96)/(MAX($J$2:$J$256)-MIN($J$2:$J$256))),"")</f>
        <v/>
      </c>
      <c r="M96" s="2">
        <f>IF(K96="","",ROUND(100*(Wit_quality*K96+Wit_nav*IF(L96="",0,L96)),1))</f>
        <v/>
      </c>
      <c r="N96" t="n">
        <v>64</v>
      </c>
    </row>
    <row r="97">
      <c r="A97" s="2">
        <f>IF(M97="","",RANK(M97,$M$2:$M$256))</f>
        <v/>
      </c>
      <c r="B97" t="inlineStr">
        <is>
          <t>Coral II</t>
        </is>
      </c>
      <c r="C97" t="inlineStr">
        <is>
          <t>Itinerary A + B</t>
        </is>
      </c>
      <c r="D97" s="3" t="inlineStr">
        <is>
          <t>Sunday</t>
        </is>
      </c>
      <c r="E97" s="3" t="n">
        <v>8</v>
      </c>
      <c r="F97" t="n">
        <v>17</v>
      </c>
      <c r="G97" t="inlineStr">
        <is>
          <t>Baltra Island Airport, Santa Cruz Island, Darwin Station - Tortoise Centre, Santa Cruz Island, Cerro Dragon, Bartolomé Island, Rábida Island, Santiago Island, Buccaneer Cove, Santiago Island, Espumilla Beach, Santa Cruz Island, Black Turtle</t>
        </is>
      </c>
      <c r="H97" s="3" t="n">
        <v>64</v>
      </c>
      <c r="I97" s="3" t="n">
        <v>254.1</v>
      </c>
      <c r="J97" s="2">
        <f>IF(OR(I97="",E97=""),"",ROUND(I97/E97,1))</f>
        <v/>
      </c>
      <c r="K97" s="2">
        <f>IFERROR(IF(H97="","",(H97-MIN($H$2:$H$256))/(MAX($H$2:$H$256)-MIN($H$2:$H$256))),"")</f>
        <v/>
      </c>
      <c r="L97" s="2">
        <f>IFERROR(IF(J97="","",(MAX($J$2:$J$256)-J97)/(MAX($J$2:$J$256)-MIN($J$2:$J$256))),"")</f>
        <v/>
      </c>
      <c r="M97" s="2">
        <f>IF(K97="","",ROUND(100*(Wit_quality*K97+Wit_nav*IF(L97="",0,L97)),1))</f>
        <v/>
      </c>
      <c r="N97" t="n">
        <v>64</v>
      </c>
    </row>
    <row r="98">
      <c r="A98" s="2">
        <f>IF(M98="","",RANK(M98,$M$2:$M$256))</f>
        <v/>
      </c>
      <c r="B98" t="inlineStr">
        <is>
          <t>Solaris</t>
        </is>
      </c>
      <c r="C98" t="inlineStr">
        <is>
          <t>itinerary C 4Days</t>
        </is>
      </c>
      <c r="D98" s="3" t="inlineStr">
        <is>
          <t>Tuesday</t>
        </is>
      </c>
      <c r="E98" s="3" t="n">
        <v>4</v>
      </c>
      <c r="F98" t="n">
        <v>8</v>
      </c>
      <c r="G98" t="inlineStr">
        <is>
          <t>Baltra Island Airport, Mosquera Island, Genovesa Island, Darwin Bay, Genovesa Island, Prince Phillip's Steps, South Plaza Island, Santa Fe Island, San Cristóbal Island, Leon Dormido, San Cristóbal Island Airport</t>
        </is>
      </c>
      <c r="H98" s="3" t="n">
        <v>64</v>
      </c>
      <c r="I98" s="3" t="n">
        <v>159.3</v>
      </c>
      <c r="J98" s="2">
        <f>IF(OR(I98="",E98=""),"",ROUND(I98/E98,1))</f>
        <v/>
      </c>
      <c r="K98" s="2">
        <f>IFERROR(IF(H98="","",(H98-MIN($H$2:$H$256))/(MAX($H$2:$H$256)-MIN($H$2:$H$256))),"")</f>
        <v/>
      </c>
      <c r="L98" s="2">
        <f>IFERROR(IF(J98="","",(MAX($J$2:$J$256)-J98)/(MAX($J$2:$J$256)-MIN($J$2:$J$256))),"")</f>
        <v/>
      </c>
      <c r="M98" s="2">
        <f>IF(K98="","",ROUND(100*(Wit_quality*K98+Wit_nav*IF(L98="",0,L98)),1))</f>
        <v/>
      </c>
      <c r="N98" t="n">
        <v>73</v>
      </c>
    </row>
    <row r="99">
      <c r="A99" s="2">
        <f>IF(M99="","",RANK(M99,$M$2:$M$256))</f>
        <v/>
      </c>
      <c r="B99" t="inlineStr">
        <is>
          <t>Cormorant</t>
        </is>
      </c>
      <c r="C99" t="inlineStr">
        <is>
          <t>Itinerary A</t>
        </is>
      </c>
      <c r="D99" s="3" t="inlineStr">
        <is>
          <t>Saturday</t>
        </is>
      </c>
      <c r="E99" s="3" t="n">
        <v>8</v>
      </c>
      <c r="F99" t="n">
        <v>17</v>
      </c>
      <c r="G99" t="inlineStr">
        <is>
          <t>Baltra Island Airport, Santa Cruz Island, Bachas Beach, Bartolomé Island, Santiago Island, Sullivan Bay, South Plaza Island, Santa Fe Island, San Cristóbal Island, Cerro Brujo, San Cristóbal Island, Punta Pitt, San Cristóbal Island, Lobos I</t>
        </is>
      </c>
      <c r="H99" s="3" t="n">
        <v>63.8</v>
      </c>
      <c r="I99" s="3" t="n">
        <v>275.3</v>
      </c>
      <c r="J99" s="2">
        <f>IF(OR(I99="",E99=""),"",ROUND(I99/E99,1))</f>
        <v/>
      </c>
      <c r="K99" s="2">
        <f>IFERROR(IF(H99="","",(H99-MIN($H$2:$H$256))/(MAX($H$2:$H$256)-MIN($H$2:$H$256))),"")</f>
        <v/>
      </c>
      <c r="L99" s="2">
        <f>IFERROR(IF(J99="","",(MAX($J$2:$J$256)-J99)/(MAX($J$2:$J$256)-MIN($J$2:$J$256))),"")</f>
        <v/>
      </c>
      <c r="M99" s="2">
        <f>IF(K99="","",ROUND(100*(Wit_quality*K99+Wit_nav*IF(L99="",0,L99)),1))</f>
        <v/>
      </c>
      <c r="N99" t="n">
        <v>64</v>
      </c>
    </row>
    <row r="100">
      <c r="A100" s="2">
        <f>IF(M100="","",RANK(M100,$M$2:$M$256))</f>
        <v/>
      </c>
      <c r="B100" t="inlineStr">
        <is>
          <t>King of the Sea</t>
        </is>
      </c>
      <c r="C100" t="inlineStr">
        <is>
          <t>Itinerary A</t>
        </is>
      </c>
      <c r="D100" s="3" t="inlineStr">
        <is>
          <t>Monday</t>
        </is>
      </c>
      <c r="E100" s="3" t="n">
        <v>8</v>
      </c>
      <c r="F100" t="n">
        <v>16</v>
      </c>
      <c r="G100" t="inlineStr">
        <is>
          <t>Baltra Island Airport, Santa Cruz Island, Punta Carrión, Santa Cruz Island, Darwin Station - Tortoise Centre, Santa Cruz Island, Los Gemelos - Highlands, South Plaza Island, Santa Fe Island, San Cristóbal Island, Punta Pitt, San Cristóbal I</t>
        </is>
      </c>
      <c r="H100" s="3" t="n">
        <v>63.8</v>
      </c>
      <c r="I100" s="3" t="n">
        <v>580.6</v>
      </c>
      <c r="J100" s="2">
        <f>IF(OR(I100="",E100=""),"",ROUND(I100/E100,1))</f>
        <v/>
      </c>
      <c r="K100" s="2">
        <f>IFERROR(IF(H100="","",(H100-MIN($H$2:$H$256))/(MAX($H$2:$H$256)-MIN($H$2:$H$256))),"")</f>
        <v/>
      </c>
      <c r="L100" s="2">
        <f>IFERROR(IF(J100="","",(MAX($J$2:$J$256)-J100)/(MAX($J$2:$J$256)-MIN($J$2:$J$256))),"")</f>
        <v/>
      </c>
      <c r="M100" s="2">
        <f>IF(K100="","",ROUND(100*(Wit_quality*K100+Wit_nav*IF(L100="",0,L100)),1))</f>
        <v/>
      </c>
      <c r="N100" t="n">
        <v>65</v>
      </c>
    </row>
    <row r="101">
      <c r="A101" s="2">
        <f>IF(M101="","",RANK(M101,$M$2:$M$256))</f>
        <v/>
      </c>
      <c r="B101" t="inlineStr">
        <is>
          <t>ALYA</t>
        </is>
      </c>
      <c r="C101" t="inlineStr">
        <is>
          <t>Itinerary B</t>
        </is>
      </c>
      <c r="D101" s="3" t="inlineStr">
        <is>
          <t>Tuesday</t>
        </is>
      </c>
      <c r="E101" s="3" t="n">
        <v>8</v>
      </c>
      <c r="F101" t="n">
        <v>16</v>
      </c>
      <c r="G101" t="inlineStr">
        <is>
          <t>Baltra Island Airport, Santa Cruz Island, Los Gemelos - Highlands, Isabela Island, Punta Moreno, Isabela Island, Elizabeth Bay, Isabela Island, Urbina Bay, Fernandina Island, Punta Espinoza, Isabela Island, Tagus Cove, Isabela, Punta Vicent</t>
        </is>
      </c>
      <c r="H101" s="3" t="n">
        <v>63.7</v>
      </c>
      <c r="I101" s="3" t="n">
        <v>230.4</v>
      </c>
      <c r="J101" s="2">
        <f>IF(OR(I101="",E101=""),"",ROUND(I101/E101,1))</f>
        <v/>
      </c>
      <c r="K101" s="2">
        <f>IFERROR(IF(H101="","",(H101-MIN($H$2:$H$256))/(MAX($H$2:$H$256)-MIN($H$2:$H$256))),"")</f>
        <v/>
      </c>
      <c r="L101" s="2">
        <f>IFERROR(IF(J101="","",(MAX($J$2:$J$256)-J101)/(MAX($J$2:$J$256)-MIN($J$2:$J$256))),"")</f>
        <v/>
      </c>
      <c r="M101" s="2">
        <f>IF(K101="","",ROUND(100*(Wit_quality*K101+Wit_nav*IF(L101="",0,L101)),1))</f>
        <v/>
      </c>
      <c r="N101" t="n">
        <v>66</v>
      </c>
    </row>
    <row r="102">
      <c r="A102" s="2">
        <f>IF(M102="","",RANK(M102,$M$2:$M$256))</f>
        <v/>
      </c>
      <c r="B102" t="inlineStr">
        <is>
          <t>Integrity</t>
        </is>
      </c>
      <c r="C102" t="inlineStr">
        <is>
          <t>The Western Route</t>
        </is>
      </c>
      <c r="D102" s="3" t="inlineStr">
        <is>
          <t>Saturday</t>
        </is>
      </c>
      <c r="E102" s="3" t="n">
        <v>8</v>
      </c>
      <c r="F102" t="n">
        <v>16</v>
      </c>
      <c r="G102" t="inlineStr">
        <is>
          <t>Baltra Island Airport, Santa Cruz Island, Los Gemelos - Highlands, Santa Cruz Island, Darwin Station - Tortoise Centre, Floreana Island, Punta Cormorant - Champion Islet, Floreana Island, Post Office Bay, Isabela Island, Punta Moreno, Isabe</t>
        </is>
      </c>
      <c r="H102" s="3" t="n">
        <v>63.7</v>
      </c>
      <c r="I102" s="3" t="n">
        <v>240.6</v>
      </c>
      <c r="J102" s="2">
        <f>IF(OR(I102="",E102=""),"",ROUND(I102/E102,1))</f>
        <v/>
      </c>
      <c r="K102" s="2">
        <f>IFERROR(IF(H102="","",(H102-MIN($H$2:$H$256))/(MAX($H$2:$H$256)-MIN($H$2:$H$256))),"")</f>
        <v/>
      </c>
      <c r="L102" s="2">
        <f>IFERROR(IF(J102="","",(MAX($J$2:$J$256)-J102)/(MAX($J$2:$J$256)-MIN($J$2:$J$256))),"")</f>
        <v/>
      </c>
      <c r="M102" s="2">
        <f>IF(K102="","",ROUND(100*(Wit_quality*K102+Wit_nav*IF(L102="",0,L102)),1))</f>
        <v/>
      </c>
      <c r="N102" t="n">
        <v>64</v>
      </c>
    </row>
    <row r="103">
      <c r="A103" s="2">
        <f>IF(M103="","",RANK(M103,$M$2:$M$256))</f>
        <v/>
      </c>
      <c r="B103" t="inlineStr">
        <is>
          <t>NEMO III</t>
        </is>
      </c>
      <c r="C103" t="inlineStr">
        <is>
          <t>Itinerary B5</t>
        </is>
      </c>
      <c r="D103" s="3" t="inlineStr">
        <is>
          <t>Sunday</t>
        </is>
      </c>
      <c r="E103" s="3" t="n">
        <v>8</v>
      </c>
      <c r="F103" t="n">
        <v>11</v>
      </c>
      <c r="G103" t="inlineStr">
        <is>
          <t>Baltra Island Airport, North Seymour Island, San Cristóbal Island, Lobos Island, San Cristóbal Island, Leon Dormido, San Cristóbal Island, Cerro Brujo, Española Island, Gardner Bay, Española Island, Punta Suarez, Floreana Island, Punta Corm</t>
        </is>
      </c>
      <c r="H103" s="3" t="n">
        <v>63.7</v>
      </c>
      <c r="I103" s="3" t="n">
        <v>195.7</v>
      </c>
      <c r="J103" s="2">
        <f>IF(OR(I103="",E103=""),"",ROUND(I103/E103,1))</f>
        <v/>
      </c>
      <c r="K103" s="2">
        <f>IFERROR(IF(H103="","",(H103-MIN($H$2:$H$256))/(MAX($H$2:$H$256)-MIN($H$2:$H$256))),"")</f>
        <v/>
      </c>
      <c r="L103" s="2">
        <f>IFERROR(IF(J103="","",(MAX($J$2:$J$256)-J103)/(MAX($J$2:$J$256)-MIN($J$2:$J$256))),"")</f>
        <v/>
      </c>
      <c r="M103" s="2">
        <f>IF(K103="","",ROUND(100*(Wit_quality*K103+Wit_nav*IF(L103="",0,L103)),1))</f>
        <v/>
      </c>
      <c r="N103" t="n">
        <v>66</v>
      </c>
    </row>
    <row r="104">
      <c r="A104" s="2">
        <f>IF(M104="","",RANK(M104,$M$2:$M$256))</f>
        <v/>
      </c>
      <c r="B104" t="inlineStr">
        <is>
          <t>ODYSSEY</t>
        </is>
      </c>
      <c r="C104" t="inlineStr">
        <is>
          <t>Itinerary B</t>
        </is>
      </c>
      <c r="D104" s="3" t="inlineStr">
        <is>
          <t>Sunday</t>
        </is>
      </c>
      <c r="E104" s="3" t="n"/>
      <c r="F104" t="n">
        <v>10</v>
      </c>
      <c r="G104" t="inlineStr">
        <is>
          <t>Baltra Island Airport, Santa Cruz Island, Cerro Dragon, Rábida Island, Sombero Chino Island, Genovesa Island, Prince Phillip's Steps, Genovesa Island, Darwin Bay, Bartolomé Island, Santiago Island, Sullivan Bay, Santa Cruz Island, Los Gemel</t>
        </is>
      </c>
      <c r="H104" s="3" t="n">
        <v>63.7</v>
      </c>
      <c r="I104" s="3" t="n">
        <v>206.6</v>
      </c>
      <c r="J104" s="2">
        <f>IF(OR(I104="",E104=""),"",ROUND(I104/E104,1))</f>
        <v/>
      </c>
      <c r="K104" s="2">
        <f>IFERROR(IF(H104="","",(H104-MIN($H$2:$H$256))/(MAX($H$2:$H$256)-MIN($H$2:$H$256))),"")</f>
        <v/>
      </c>
      <c r="L104" s="2">
        <f>IFERROR(IF(J104="","",(MAX($J$2:$J$256)-J104)/(MAX($J$2:$J$256)-MIN($J$2:$J$256))),"")</f>
        <v/>
      </c>
      <c r="M104" s="2">
        <f>IF(K104="","",ROUND(100*(Wit_quality*K104+Wit_nav*IF(L104="",0,L104)),1))</f>
        <v/>
      </c>
      <c r="N104" t="n">
        <v>67</v>
      </c>
    </row>
    <row r="105">
      <c r="A105" s="2">
        <f>IF(M105="","",RANK(M105,$M$2:$M$256))</f>
        <v/>
      </c>
      <c r="B105" t="inlineStr">
        <is>
          <t>ALYA</t>
        </is>
      </c>
      <c r="C105" t="inlineStr">
        <is>
          <t>Itinerary A5</t>
        </is>
      </c>
      <c r="D105" s="3" t="inlineStr">
        <is>
          <t>Tuesday</t>
        </is>
      </c>
      <c r="E105" s="3" t="n">
        <v>5</v>
      </c>
      <c r="F105" t="n">
        <v>10</v>
      </c>
      <c r="G105" t="inlineStr">
        <is>
          <t>Baltra Island Airport, North Seymour Island, Genovesa Island, Darwin Bay, Genovesa Island, Prince Phillip's Steps, Santiago Island, Sullivan Bay, Bartolomé Island, Santa Cruz Island, Cerro Dragon, Santa Cruz Island, Black Turtle Cove, Santa</t>
        </is>
      </c>
      <c r="H105" s="3" t="n">
        <v>63.6</v>
      </c>
      <c r="I105" s="3" t="n">
        <v>154.1</v>
      </c>
      <c r="J105" s="2">
        <f>IF(OR(I105="",E105=""),"",ROUND(I105/E105,1))</f>
        <v/>
      </c>
      <c r="K105" s="2">
        <f>IFERROR(IF(H105="","",(H105-MIN($H$2:$H$256))/(MAX($H$2:$H$256)-MIN($H$2:$H$256))),"")</f>
        <v/>
      </c>
      <c r="L105" s="2">
        <f>IFERROR(IF(J105="","",(MAX($J$2:$J$256)-J105)/(MAX($J$2:$J$256)-MIN($J$2:$J$256))),"")</f>
        <v/>
      </c>
      <c r="M105" s="2">
        <f>IF(K105="","",ROUND(100*(Wit_quality*K105+Wit_nav*IF(L105="",0,L105)),1))</f>
        <v/>
      </c>
      <c r="N105" t="n">
        <v>67</v>
      </c>
    </row>
    <row r="106">
      <c r="A106" s="2">
        <f>IF(M106="","",RANK(M106,$M$2:$M$256))</f>
        <v/>
      </c>
      <c r="B106" t="inlineStr">
        <is>
          <t>Coral I</t>
        </is>
      </c>
      <c r="C106" t="inlineStr">
        <is>
          <t>Itinerary C + D</t>
        </is>
      </c>
      <c r="D106" s="3" t="inlineStr">
        <is>
          <t>Sunday</t>
        </is>
      </c>
      <c r="E106" s="3" t="n">
        <v>8</v>
      </c>
      <c r="F106" t="n">
        <v>17</v>
      </c>
      <c r="G106" t="inlineStr">
        <is>
          <t xml:space="preserve">Baltra Island Airport, Santa Cruz Island, Darwin Station - Tortoise Centre, Mosquera Island, North Seymour Island, Santa Fe Island, South Plaza Island, San Cristóbal Island, Leon Dormido, San Cristóbal Island, Cerro Colorado, San Cristóbal </t>
        </is>
      </c>
      <c r="H106" s="3" t="n">
        <v>63.6</v>
      </c>
      <c r="I106" s="3" t="n">
        <v>254</v>
      </c>
      <c r="J106" s="2">
        <f>IF(OR(I106="",E106=""),"",ROUND(I106/E106,1))</f>
        <v/>
      </c>
      <c r="K106" s="2">
        <f>IFERROR(IF(H106="","",(H106-MIN($H$2:$H$256))/(MAX($H$2:$H$256)-MIN($H$2:$H$256))),"")</f>
        <v/>
      </c>
      <c r="L106" s="2">
        <f>IFERROR(IF(J106="","",(MAX($J$2:$J$256)-J106)/(MAX($J$2:$J$256)-MIN($J$2:$J$256))),"")</f>
        <v/>
      </c>
      <c r="M106" s="2">
        <f>IF(K106="","",ROUND(100*(Wit_quality*K106+Wit_nav*IF(L106="",0,L106)),1))</f>
        <v/>
      </c>
      <c r="N106" t="n">
        <v>65</v>
      </c>
    </row>
    <row r="107">
      <c r="A107" s="2">
        <f>IF(M107="","",RANK(M107,$M$2:$M$256))</f>
        <v/>
      </c>
      <c r="B107" t="inlineStr">
        <is>
          <t>Coral II</t>
        </is>
      </c>
      <c r="C107" t="inlineStr">
        <is>
          <t>Itinerary C + D</t>
        </is>
      </c>
      <c r="D107" s="3" t="inlineStr">
        <is>
          <t>Sunday</t>
        </is>
      </c>
      <c r="E107" s="3" t="n">
        <v>8</v>
      </c>
      <c r="F107" t="n">
        <v>17</v>
      </c>
      <c r="G107" t="inlineStr">
        <is>
          <t xml:space="preserve">Baltra Island Airport, Santa Cruz Island, Darwin Station - Tortoise Centre, Mosquera Island, North Seymour Island, Santa Fe Island, South Plaza Island, San Cristóbal Island, Leon Dormido, San Cristóbal Island, Cerro Colorado, San Cristóbal </t>
        </is>
      </c>
      <c r="H107" s="3" t="n">
        <v>63.6</v>
      </c>
      <c r="I107" s="3" t="n">
        <v>254</v>
      </c>
      <c r="J107" s="2">
        <f>IF(OR(I107="",E107=""),"",ROUND(I107/E107,1))</f>
        <v/>
      </c>
      <c r="K107" s="2">
        <f>IFERROR(IF(H107="","",(H107-MIN($H$2:$H$256))/(MAX($H$2:$H$256)-MIN($H$2:$H$256))),"")</f>
        <v/>
      </c>
      <c r="L107" s="2">
        <f>IFERROR(IF(J107="","",(MAX($J$2:$J$256)-J107)/(MAX($J$2:$J$256)-MIN($J$2:$J$256))),"")</f>
        <v/>
      </c>
      <c r="M107" s="2">
        <f>IF(K107="","",ROUND(100*(Wit_quality*K107+Wit_nav*IF(L107="",0,L107)),1))</f>
        <v/>
      </c>
      <c r="N107" t="n">
        <v>65</v>
      </c>
    </row>
    <row r="108">
      <c r="A108" s="2">
        <f>IF(M108="","",RANK(M108,$M$2:$M$256))</f>
        <v/>
      </c>
      <c r="B108" t="inlineStr">
        <is>
          <t>Evolution</t>
        </is>
      </c>
      <c r="C108" t="inlineStr">
        <is>
          <t>Itinerary B</t>
        </is>
      </c>
      <c r="D108" s="3" t="inlineStr">
        <is>
          <t>Saturday</t>
        </is>
      </c>
      <c r="E108" s="3" t="n">
        <v>8</v>
      </c>
      <c r="F108" t="n">
        <v>17</v>
      </c>
      <c r="G108" t="inlineStr">
        <is>
          <t>San Cristóbal Island Airport, San Cristóbal Island, Leon Dormido, South Plaza Island, Santa Cruz Island, Punta Carrión, Sombero Chino Island, Santiago Island, Puerto Egas, Genovesa Island, Darwin Bay, Genovesa Island, Prince Phillip's Steps</t>
        </is>
      </c>
      <c r="H108" s="3" t="n">
        <v>63.6</v>
      </c>
      <c r="I108" s="3" t="n">
        <v>312.5</v>
      </c>
      <c r="J108" s="2">
        <f>IF(OR(I108="",E108=""),"",ROUND(I108/E108,1))</f>
        <v/>
      </c>
      <c r="K108" s="2">
        <f>IFERROR(IF(H108="","",(H108-MIN($H$2:$H$256))/(MAX($H$2:$H$256)-MIN($H$2:$H$256))),"")</f>
        <v/>
      </c>
      <c r="L108" s="2">
        <f>IFERROR(IF(J108="","",(MAX($J$2:$J$256)-J108)/(MAX($J$2:$J$256)-MIN($J$2:$J$256))),"")</f>
        <v/>
      </c>
      <c r="M108" s="2">
        <f>IF(K108="","",ROUND(100*(Wit_quality*K108+Wit_nav*IF(L108="",0,L108)),1))</f>
        <v/>
      </c>
      <c r="N108" t="n">
        <v>66</v>
      </c>
    </row>
    <row r="109">
      <c r="A109" s="2">
        <f>IF(M109="","",RANK(M109,$M$2:$M$256))</f>
        <v/>
      </c>
      <c r="B109" t="inlineStr">
        <is>
          <t>Endemic</t>
        </is>
      </c>
      <c r="C109" t="inlineStr">
        <is>
          <t>A 8Days</t>
        </is>
      </c>
      <c r="D109" s="3" t="inlineStr">
        <is>
          <t>Sunday</t>
        </is>
      </c>
      <c r="E109" s="3" t="n">
        <v>8</v>
      </c>
      <c r="F109" t="n">
        <v>17</v>
      </c>
      <c r="G109" t="inlineStr">
        <is>
          <t>Baltra Island Airport, Santa Cruz Island, Bachas Beach, Genovesa Island, Darwin Bay, Genovesa Island, Prince Phillip's Steps, Santa Cruz Island, Los Gemelos - Highlands, Santiago Island, Sullivan Bay, Isabela Island, Sierra Negra, Isabela I</t>
        </is>
      </c>
      <c r="H109" s="3" t="n">
        <v>63.5</v>
      </c>
      <c r="I109" s="3" t="n">
        <v>301.4</v>
      </c>
      <c r="J109" s="2">
        <f>IF(OR(I109="",E109=""),"",ROUND(I109/E109,1))</f>
        <v/>
      </c>
      <c r="K109" s="2">
        <f>IFERROR(IF(H109="","",(H109-MIN($H$2:$H$256))/(MAX($H$2:$H$256)-MIN($H$2:$H$256))),"")</f>
        <v/>
      </c>
      <c r="L109" s="2">
        <f>IFERROR(IF(J109="","",(MAX($J$2:$J$256)-J109)/(MAX($J$2:$J$256)-MIN($J$2:$J$256))),"")</f>
        <v/>
      </c>
      <c r="M109" s="2">
        <f>IF(K109="","",ROUND(100*(Wit_quality*K109+Wit_nav*IF(L109="",0,L109)),1))</f>
        <v/>
      </c>
      <c r="N109" t="n">
        <v>64</v>
      </c>
    </row>
    <row r="110">
      <c r="A110" s="2">
        <f>IF(M110="","",RANK(M110,$M$2:$M$256))</f>
        <v/>
      </c>
      <c r="B110" t="inlineStr">
        <is>
          <t>LA PINTA</t>
        </is>
      </c>
      <c r="C110" t="inlineStr">
        <is>
          <t>Western Islands</t>
        </is>
      </c>
      <c r="D110" s="3" t="inlineStr">
        <is>
          <t>Friday</t>
        </is>
      </c>
      <c r="E110" s="3" t="n">
        <v>7</v>
      </c>
      <c r="F110" t="n">
        <v>13</v>
      </c>
      <c r="G110" t="inlineStr">
        <is>
          <t>Baltra Island Airport, North Seymour Island, Isabela, Punta Vicente Roca, Fernandina Island, Punta Espinoza, Isabela Island, Urbina Bay, Isabela Island, Tagus Cove, Rábida Island, Santa Cruz Island, Cerro Dragon, Santa Cruz Island, Darwin S</t>
        </is>
      </c>
      <c r="H110" s="3" t="n">
        <v>63.5</v>
      </c>
      <c r="I110" s="3" t="n">
        <v>243.4</v>
      </c>
      <c r="J110" s="2">
        <f>IF(OR(I110="",E110=""),"",ROUND(I110/E110,1))</f>
        <v/>
      </c>
      <c r="K110" s="2">
        <f>IFERROR(IF(H110="","",(H110-MIN($H$2:$H$256))/(MAX($H$2:$H$256)-MIN($H$2:$H$256))),"")</f>
        <v/>
      </c>
      <c r="L110" s="2">
        <f>IFERROR(IF(J110="","",(MAX($J$2:$J$256)-J110)/(MAX($J$2:$J$256)-MIN($J$2:$J$256))),"")</f>
        <v/>
      </c>
      <c r="M110" s="2">
        <f>IF(K110="","",ROUND(100*(Wit_quality*K110+Wit_nav*IF(L110="",0,L110)),1))</f>
        <v/>
      </c>
      <c r="N110" t="n">
        <v>65</v>
      </c>
    </row>
    <row r="111">
      <c r="A111" s="2">
        <f>IF(M111="","",RANK(M111,$M$2:$M$256))</f>
        <v/>
      </c>
      <c r="B111" t="inlineStr">
        <is>
          <t>ARCHIPELL I</t>
        </is>
      </c>
      <c r="C111" t="inlineStr">
        <is>
          <t>Itinerary B4</t>
        </is>
      </c>
      <c r="D111" s="3" t="inlineStr">
        <is>
          <t>Monday</t>
        </is>
      </c>
      <c r="E111" s="3" t="n">
        <v>4</v>
      </c>
      <c r="F111" t="n">
        <v>8</v>
      </c>
      <c r="G111" t="inlineStr">
        <is>
          <t>Baltra Island Airport, North Seymour Island, Genovesa Island, Prince Phillip's Steps, Genovesa Island, Darwin Bay, Bartolomé Island, Santiago Island, Sullivan Bay, Santa Cruz Island, Darwin Station - Tortoise Centre, Baltra Island Airport</t>
        </is>
      </c>
      <c r="H111" s="3" t="n">
        <v>63.4</v>
      </c>
      <c r="I111" s="3" t="n">
        <v>154.8</v>
      </c>
      <c r="J111" s="2">
        <f>IF(OR(I111="",E111=""),"",ROUND(I111/E111,1))</f>
        <v/>
      </c>
      <c r="K111" s="2">
        <f>IFERROR(IF(H111="","",(H111-MIN($H$2:$H$256))/(MAX($H$2:$H$256)-MIN($H$2:$H$256))),"")</f>
        <v/>
      </c>
      <c r="L111" s="2">
        <f>IFERROR(IF(J111="","",(MAX($J$2:$J$256)-J111)/(MAX($J$2:$J$256)-MIN($J$2:$J$256))),"")</f>
        <v/>
      </c>
      <c r="M111" s="2">
        <f>IF(K111="","",ROUND(100*(Wit_quality*K111+Wit_nav*IF(L111="",0,L111)),1))</f>
        <v/>
      </c>
      <c r="N111" t="n">
        <v>71</v>
      </c>
    </row>
    <row r="112">
      <c r="A112" s="2">
        <f>IF(M112="","",RANK(M112,$M$2:$M$256))</f>
        <v/>
      </c>
      <c r="B112" t="inlineStr">
        <is>
          <t>GALAPAGOS SEA STAR</t>
        </is>
      </c>
      <c r="C112" t="inlineStr">
        <is>
          <t>Itinerary B</t>
        </is>
      </c>
      <c r="D112" s="3" t="inlineStr">
        <is>
          <t>Sunday</t>
        </is>
      </c>
      <c r="E112" s="3" t="n">
        <v>5</v>
      </c>
      <c r="F112" t="n">
        <v>10</v>
      </c>
      <c r="G112" t="inlineStr">
        <is>
          <t>Baltra Island Airport, Santa Cruz Island, Cerro Dragon, Santa Cruz Island, Black Turtle Cove, Sombero Chino Island, Genovesa Island, Prince Phillip's Steps, Genovesa Island, Darwin Bay, Bartolomé Island, Santiago Island, Sullivan Bay, Santa</t>
        </is>
      </c>
      <c r="H112" s="3" t="n">
        <v>63.4</v>
      </c>
      <c r="I112" s="3" t="n">
        <v>194.2</v>
      </c>
      <c r="J112" s="2">
        <f>IF(OR(I112="",E112=""),"",ROUND(I112/E112,1))</f>
        <v/>
      </c>
      <c r="K112" s="2">
        <f>IFERROR(IF(H112="","",(H112-MIN($H$2:$H$256))/(MAX($H$2:$H$256)-MIN($H$2:$H$256))),"")</f>
        <v/>
      </c>
      <c r="L112" s="2">
        <f>IFERROR(IF(J112="","",(MAX($J$2:$J$256)-J112)/(MAX($J$2:$J$256)-MIN($J$2:$J$256))),"")</f>
        <v/>
      </c>
      <c r="M112" s="2">
        <f>IF(K112="","",ROUND(100*(Wit_quality*K112+Wit_nav*IF(L112="",0,L112)),1))</f>
        <v/>
      </c>
      <c r="N112" t="n">
        <v>66</v>
      </c>
    </row>
    <row r="113">
      <c r="A113" s="2">
        <f>IF(M113="","",RANK(M113,$M$2:$M$256))</f>
        <v/>
      </c>
      <c r="B113" t="inlineStr">
        <is>
          <t>Galaxy</t>
        </is>
      </c>
      <c r="C113" t="inlineStr">
        <is>
          <t>Itinerary B</t>
        </is>
      </c>
      <c r="D113" s="3" t="inlineStr">
        <is>
          <t>Saturday</t>
        </is>
      </c>
      <c r="E113" s="3" t="n">
        <v>6</v>
      </c>
      <c r="F113" t="n">
        <v>13</v>
      </c>
      <c r="G113" t="inlineStr">
        <is>
          <t>Baltra Island Airport, Santa Cruz Island, Los Gemelos - Highlands, Isabela Island, Tintorera, Isabela Island, Punta Moreno, Isabela Island, Elizabeth Bay, Isabela Island, Urbina Bay, Isabela Island, Tagus Cove, Fernandina Island, Punta Espi</t>
        </is>
      </c>
      <c r="H113" s="3" t="n">
        <v>63.4</v>
      </c>
      <c r="I113" s="3" t="n">
        <v>161.8</v>
      </c>
      <c r="J113" s="2">
        <f>IF(OR(I113="",E113=""),"",ROUND(I113/E113,1))</f>
        <v/>
      </c>
      <c r="K113" s="2">
        <f>IFERROR(IF(H113="","",(H113-MIN($H$2:$H$256))/(MAX($H$2:$H$256)-MIN($H$2:$H$256))),"")</f>
        <v/>
      </c>
      <c r="L113" s="2">
        <f>IFERROR(IF(J113="","",(MAX($J$2:$J$256)-J113)/(MAX($J$2:$J$256)-MIN($J$2:$J$256))),"")</f>
        <v/>
      </c>
      <c r="M113" s="2">
        <f>IF(K113="","",ROUND(100*(Wit_quality*K113+Wit_nav*IF(L113="",0,L113)),1))</f>
        <v/>
      </c>
      <c r="N113" t="n">
        <v>65</v>
      </c>
    </row>
    <row r="114">
      <c r="A114" s="2">
        <f>IF(M114="","",RANK(M114,$M$2:$M$256))</f>
        <v/>
      </c>
      <c r="B114" t="inlineStr">
        <is>
          <t>NEMO I</t>
        </is>
      </c>
      <c r="C114" t="inlineStr">
        <is>
          <t>A5 + B5 (9 Days)</t>
        </is>
      </c>
      <c r="D114" s="3" t="inlineStr">
        <is>
          <t>Thursday</t>
        </is>
      </c>
      <c r="E114" s="3" t="n"/>
      <c r="F114" t="n">
        <v>18</v>
      </c>
      <c r="G114" t="inlineStr">
        <is>
          <t>Baltra Island Airport, Santa Cruz Island, Darwin Station - Tortoise Centre, Isabela Island, Punta Moreno, Isabela Island, Urbina Bay, Fernandina Island, Punta Espinoza, Isabela, Punta Vicente Roca, Santiago Island, Puerto Egas, Santiago Isl</t>
        </is>
      </c>
      <c r="H114" s="3" t="n">
        <v>63.4</v>
      </c>
      <c r="I114" s="3" t="n">
        <v>402.4</v>
      </c>
      <c r="J114" s="2">
        <f>IF(OR(I114="",E114=""),"",ROUND(I114/E114,1))</f>
        <v/>
      </c>
      <c r="K114" s="2">
        <f>IFERROR(IF(H114="","",(H114-MIN($H$2:$H$256))/(MAX($H$2:$H$256)-MIN($H$2:$H$256))),"")</f>
        <v/>
      </c>
      <c r="L114" s="2">
        <f>IFERROR(IF(J114="","",(MAX($J$2:$J$256)-J114)/(MAX($J$2:$J$256)-MIN($J$2:$J$256))),"")</f>
        <v/>
      </c>
      <c r="M114" s="2">
        <f>IF(K114="","",ROUND(100*(Wit_quality*K114+Wit_nav*IF(L114="",0,L114)),1))</f>
        <v/>
      </c>
      <c r="N114" t="n">
        <v>64</v>
      </c>
    </row>
    <row r="115">
      <c r="A115" s="2">
        <f>IF(M115="","",RANK(M115,$M$2:$M$256))</f>
        <v/>
      </c>
      <c r="B115" t="inlineStr">
        <is>
          <t>NEMO I</t>
        </is>
      </c>
      <c r="C115" t="inlineStr">
        <is>
          <t>Itinerary B</t>
        </is>
      </c>
      <c r="D115" s="3" t="inlineStr">
        <is>
          <t>Monday</t>
        </is>
      </c>
      <c r="E115" s="3" t="n">
        <v>8</v>
      </c>
      <c r="F115" t="n">
        <v>18</v>
      </c>
      <c r="G115" t="inlineStr">
        <is>
          <t>Baltra Island Airport, Santa Cruz Island, Bachas Beach, Isabela Island, Tintorera, Isabela Island, Villamil Tortoise Centre, Isabela Island, Wetlands, Floreana Island, Punta Cormorant - Champion Islet, Floreana Island, Punta Cormorant - Dev</t>
        </is>
      </c>
      <c r="H115" s="3" t="n">
        <v>63.4</v>
      </c>
      <c r="I115" s="3" t="n">
        <v>367.3</v>
      </c>
      <c r="J115" s="2">
        <f>IF(OR(I115="",E115=""),"",ROUND(I115/E115,1))</f>
        <v/>
      </c>
      <c r="K115" s="2">
        <f>IFERROR(IF(H115="","",(H115-MIN($H$2:$H$256))/(MAX($H$2:$H$256)-MIN($H$2:$H$256))),"")</f>
        <v/>
      </c>
      <c r="L115" s="2">
        <f>IFERROR(IF(J115="","",(MAX($J$2:$J$256)-J115)/(MAX($J$2:$J$256)-MIN($J$2:$J$256))),"")</f>
        <v/>
      </c>
      <c r="M115" s="2">
        <f>IF(K115="","",ROUND(100*(Wit_quality*K115+Wit_nav*IF(L115="",0,L115)),1))</f>
        <v/>
      </c>
      <c r="N115" t="n">
        <v>64</v>
      </c>
    </row>
    <row r="116">
      <c r="A116" s="2">
        <f>IF(M116="","",RANK(M116,$M$2:$M$256))</f>
        <v/>
      </c>
      <c r="B116" t="inlineStr">
        <is>
          <t>Daphne</t>
        </is>
      </c>
      <c r="C116" t="inlineStr">
        <is>
          <t>Itinerary A</t>
        </is>
      </c>
      <c r="D116" s="3" t="inlineStr">
        <is>
          <t>Wednesday</t>
        </is>
      </c>
      <c r="E116" s="3" t="n">
        <v>8</v>
      </c>
      <c r="F116" t="n">
        <v>16</v>
      </c>
      <c r="G116" t="inlineStr">
        <is>
          <t>Baltra Island Airport, Santa Cruz Island, Bachas Beach, North Seymour Island, Bartolomé Island, Santiago Island, Espumilla Beach, Santiago Island, Buccaneer Cove, Isabela Island, Tagus Cove, Fernandina Island, Punta Espinoza, Isabela Island</t>
        </is>
      </c>
      <c r="H116" s="3" t="n">
        <v>63.3</v>
      </c>
      <c r="I116" s="3" t="n">
        <v>189</v>
      </c>
      <c r="J116" s="2">
        <f>IF(OR(I116="",E116=""),"",ROUND(I116/E116,1))</f>
        <v/>
      </c>
      <c r="K116" s="2">
        <f>IFERROR(IF(H116="","",(H116-MIN($H$2:$H$256))/(MAX($H$2:$H$256)-MIN($H$2:$H$256))),"")</f>
        <v/>
      </c>
      <c r="L116" s="2">
        <f>IFERROR(IF(J116="","",(MAX($J$2:$J$256)-J116)/(MAX($J$2:$J$256)-MIN($J$2:$J$256))),"")</f>
        <v/>
      </c>
      <c r="M116" s="2">
        <f>IF(K116="","",ROUND(100*(Wit_quality*K116+Wit_nav*IF(L116="",0,L116)),1))</f>
        <v/>
      </c>
      <c r="N116" t="n">
        <v>64</v>
      </c>
    </row>
    <row r="117">
      <c r="A117" s="2">
        <f>IF(M117="","",RANK(M117,$M$2:$M$256))</f>
        <v/>
      </c>
      <c r="B117" t="inlineStr">
        <is>
          <t>ARCHIPELL II</t>
        </is>
      </c>
      <c r="C117" t="inlineStr">
        <is>
          <t>Itinerary D</t>
        </is>
      </c>
      <c r="D117" s="3" t="inlineStr">
        <is>
          <t>Monday</t>
        </is>
      </c>
      <c r="E117" s="3" t="n">
        <v>8</v>
      </c>
      <c r="F117" t="n">
        <v>16</v>
      </c>
      <c r="G117" t="inlineStr">
        <is>
          <t>Baltra Island Airport, Santa Cruz Island, Los Gemelos - Highlands, Floreana Island, Punta Cormorant - Champion Islet, Floreana Island, Baroness' lookout, Española Island, Gardner Bay, Española Island, Punta Suarez, San Cristóbal Island, Pun</t>
        </is>
      </c>
      <c r="H117" s="3" t="n">
        <v>63.2</v>
      </c>
      <c r="I117" s="3" t="n">
        <v>287</v>
      </c>
      <c r="J117" s="2">
        <f>IF(OR(I117="",E117=""),"",ROUND(I117/E117,1))</f>
        <v/>
      </c>
      <c r="K117" s="2">
        <f>IFERROR(IF(H117="","",(H117-MIN($H$2:$H$256))/(MAX($H$2:$H$256)-MIN($H$2:$H$256))),"")</f>
        <v/>
      </c>
      <c r="L117" s="2">
        <f>IFERROR(IF(J117="","",(MAX($J$2:$J$256)-J117)/(MAX($J$2:$J$256)-MIN($J$2:$J$256))),"")</f>
        <v/>
      </c>
      <c r="M117" s="2">
        <f>IF(K117="","",ROUND(100*(Wit_quality*K117+Wit_nav*IF(L117="",0,L117)),1))</f>
        <v/>
      </c>
      <c r="N117" t="n">
        <v>65</v>
      </c>
    </row>
    <row r="118">
      <c r="A118" s="2">
        <f>IF(M118="","",RANK(M118,$M$2:$M$256))</f>
        <v/>
      </c>
      <c r="B118" t="inlineStr">
        <is>
          <t>XPERIENCE</t>
        </is>
      </c>
      <c r="C118" t="inlineStr">
        <is>
          <t>Southern Itinerary</t>
        </is>
      </c>
      <c r="D118" s="3" t="inlineStr">
        <is>
          <t>Saturday</t>
        </is>
      </c>
      <c r="E118" s="3" t="n">
        <v>8</v>
      </c>
      <c r="F118" t="n">
        <v>15</v>
      </c>
      <c r="G118" t="inlineStr">
        <is>
          <t>Baltra Island Airport, North Seymour Island, South Plaza Island, Santa Fe Island, San Cristóbal Island, Punta Pitt, San Cristóbal Island, Interpretation Centre, Floreana Island, Post Office Bay, Floreana Island, Punta Cormorant - Champion I</t>
        </is>
      </c>
      <c r="H118" s="3" t="n">
        <v>63.2</v>
      </c>
      <c r="I118" s="3" t="n">
        <v>378.6</v>
      </c>
      <c r="J118" s="2">
        <f>IF(OR(I118="",E118=""),"",ROUND(I118/E118,1))</f>
        <v/>
      </c>
      <c r="K118" s="2">
        <f>IFERROR(IF(H118="","",(H118-MIN($H$2:$H$256))/(MAX($H$2:$H$256)-MIN($H$2:$H$256))),"")</f>
        <v/>
      </c>
      <c r="L118" s="2">
        <f>IFERROR(IF(J118="","",(MAX($J$2:$J$256)-J118)/(MAX($J$2:$J$256)-MIN($J$2:$J$256))),"")</f>
        <v/>
      </c>
      <c r="M118" s="2">
        <f>IF(K118="","",ROUND(100*(Wit_quality*K118+Wit_nav*IF(L118="",0,L118)),1))</f>
        <v/>
      </c>
      <c r="N118" t="n">
        <v>66</v>
      </c>
    </row>
    <row r="119">
      <c r="A119" s="2">
        <f>IF(M119="","",RANK(M119,$M$2:$M$256))</f>
        <v/>
      </c>
      <c r="B119" t="inlineStr">
        <is>
          <t>XPLORATION</t>
        </is>
      </c>
      <c r="C119" t="inlineStr">
        <is>
          <t>Southern Itinerary</t>
        </is>
      </c>
      <c r="D119" s="3" t="inlineStr">
        <is>
          <t>Saturday</t>
        </is>
      </c>
      <c r="E119" s="3" t="n">
        <v>8</v>
      </c>
      <c r="F119" t="n">
        <v>15</v>
      </c>
      <c r="G119" t="inlineStr">
        <is>
          <t>Baltra Island Airport, North Seymour Island, South Plaza Island, Santa Fe Island, San Cristóbal Island, Punta Pitt, San Cristóbal Island, Interpretation Centre, Floreana Island, Post Office Bay, Floreana Island, Punta Cormorant - Champion I</t>
        </is>
      </c>
      <c r="H119" s="3" t="n">
        <v>63.2</v>
      </c>
      <c r="I119" s="3" t="n">
        <v>378.6</v>
      </c>
      <c r="J119" s="2">
        <f>IF(OR(I119="",E119=""),"",ROUND(I119/E119,1))</f>
        <v/>
      </c>
      <c r="K119" s="2">
        <f>IFERROR(IF(H119="","",(H119-MIN($H$2:$H$256))/(MAX($H$2:$H$256)-MIN($H$2:$H$256))),"")</f>
        <v/>
      </c>
      <c r="L119" s="2">
        <f>IFERROR(IF(J119="","",(MAX($J$2:$J$256)-J119)/(MAX($J$2:$J$256)-MIN($J$2:$J$256))),"")</f>
        <v/>
      </c>
      <c r="M119" s="2">
        <f>IF(K119="","",ROUND(100*(Wit_quality*K119+Wit_nav*IF(L119="",0,L119)),1))</f>
        <v/>
      </c>
      <c r="N119" t="n">
        <v>66</v>
      </c>
    </row>
    <row r="120">
      <c r="A120" s="2">
        <f>IF(M120="","",RANK(M120,$M$2:$M$256))</f>
        <v/>
      </c>
      <c r="B120" t="inlineStr">
        <is>
          <t>Endemic</t>
        </is>
      </c>
      <c r="C120" t="inlineStr">
        <is>
          <t>E 6Days</t>
        </is>
      </c>
      <c r="D120" s="3" t="inlineStr">
        <is>
          <t>Thursday</t>
        </is>
      </c>
      <c r="E120" s="3" t="n">
        <v>6</v>
      </c>
      <c r="F120" t="n">
        <v>12</v>
      </c>
      <c r="G120" t="inlineStr">
        <is>
          <t xml:space="preserve">Baltra Island Airport, Bartolomé Island, Floreana Island, Punta Cormorant - Devil`s Crown, Floreana Island, Post Office Bay, Sombero Chino Island, North Seymour Island, Santa Cruz Island, Black Turtle Cove, Santa Cruz Island, Bachas Beach, </t>
        </is>
      </c>
      <c r="H120" s="3" t="n">
        <v>63.1</v>
      </c>
      <c r="I120" s="3" t="n">
        <v>302.1</v>
      </c>
      <c r="J120" s="2">
        <f>IF(OR(I120="",E120=""),"",ROUND(I120/E120,1))</f>
        <v/>
      </c>
      <c r="K120" s="2">
        <f>IFERROR(IF(H120="","",(H120-MIN($H$2:$H$256))/(MAX($H$2:$H$256)-MIN($H$2:$H$256))),"")</f>
        <v/>
      </c>
      <c r="L120" s="2">
        <f>IFERROR(IF(J120="","",(MAX($J$2:$J$256)-J120)/(MAX($J$2:$J$256)-MIN($J$2:$J$256))),"")</f>
        <v/>
      </c>
      <c r="M120" s="2">
        <f>IF(K120="","",ROUND(100*(Wit_quality*K120+Wit_nav*IF(L120="",0,L120)),1))</f>
        <v/>
      </c>
      <c r="N120" t="n">
        <v>65</v>
      </c>
    </row>
    <row r="121">
      <c r="A121" s="2">
        <f>IF(M121="","",RANK(M121,$M$2:$M$256))</f>
        <v/>
      </c>
      <c r="B121" t="inlineStr">
        <is>
          <t>LEGEND</t>
        </is>
      </c>
      <c r="C121" t="inlineStr">
        <is>
          <t>Itinerary A</t>
        </is>
      </c>
      <c r="D121" s="3" t="inlineStr">
        <is>
          <t>Monday</t>
        </is>
      </c>
      <c r="E121" s="3" t="n">
        <v>4</v>
      </c>
      <c r="F121" t="n">
        <v>8</v>
      </c>
      <c r="G121" t="inlineStr">
        <is>
          <t>Baltra Island Airport, Santa Cruz Island, Los Gemelos - Highlands, Genovesa Island, Prince Phillip's Steps, Genovesa Island, Darwin Bay, Santa Cruz Island, Cerro Dragon, Santa Fe Island, Santa Cruz Island, Bachas Beach, Baltra Island Airpor</t>
        </is>
      </c>
      <c r="H121" s="3" t="n">
        <v>63</v>
      </c>
      <c r="I121" s="3" t="n">
        <v>190.1</v>
      </c>
      <c r="J121" s="2">
        <f>IF(OR(I121="",E121=""),"",ROUND(I121/E121,1))</f>
        <v/>
      </c>
      <c r="K121" s="2">
        <f>IFERROR(IF(H121="","",(H121-MIN($H$2:$H$256))/(MAX($H$2:$H$256)-MIN($H$2:$H$256))),"")</f>
        <v/>
      </c>
      <c r="L121" s="2">
        <f>IFERROR(IF(J121="","",(MAX($J$2:$J$256)-J121)/(MAX($J$2:$J$256)-MIN($J$2:$J$256))),"")</f>
        <v/>
      </c>
      <c r="M121" s="2">
        <f>IF(K121="","",ROUND(100*(Wit_quality*K121+Wit_nav*IF(L121="",0,L121)),1))</f>
        <v/>
      </c>
      <c r="N121" t="n">
        <v>68</v>
      </c>
    </row>
    <row r="122">
      <c r="A122" s="2">
        <f>IF(M122="","",RANK(M122,$M$2:$M$256))</f>
        <v/>
      </c>
      <c r="B122" t="inlineStr">
        <is>
          <t>SANTA CRUZ II</t>
        </is>
      </c>
      <c r="C122" t="inlineStr">
        <is>
          <t>Northern Islands</t>
        </is>
      </c>
      <c r="D122" s="3" t="inlineStr">
        <is>
          <t>Monday</t>
        </is>
      </c>
      <c r="E122" s="3" t="n">
        <v>5</v>
      </c>
      <c r="F122" t="n">
        <v>10</v>
      </c>
      <c r="G122" t="inlineStr">
        <is>
          <t>Baltra Island Airport, Santa Cruz Island, Bachas Beach, Santiago Island, Buccaneer Cove, Santiago Island, Puerto Egas, Rábida Island, Bartolomé Island, Genovesa Island, Prince Phillip's Steps, Genovesa Island, Darwin Bay, Santa Cruz Island,</t>
        </is>
      </c>
      <c r="H122" s="3" t="n">
        <v>63</v>
      </c>
      <c r="I122" s="3" t="n">
        <v>189.8</v>
      </c>
      <c r="J122" s="2">
        <f>IF(OR(I122="",E122=""),"",ROUND(I122/E122,1))</f>
        <v/>
      </c>
      <c r="K122" s="2">
        <f>IFERROR(IF(H122="","",(H122-MIN($H$2:$H$256))/(MAX($H$2:$H$256)-MIN($H$2:$H$256))),"")</f>
        <v/>
      </c>
      <c r="L122" s="2">
        <f>IFERROR(IF(J122="","",(MAX($J$2:$J$256)-J122)/(MAX($J$2:$J$256)-MIN($J$2:$J$256))),"")</f>
        <v/>
      </c>
      <c r="M122" s="2">
        <f>IF(K122="","",ROUND(100*(Wit_quality*K122+Wit_nav*IF(L122="",0,L122)),1))</f>
        <v/>
      </c>
      <c r="N122" t="n">
        <v>68</v>
      </c>
    </row>
    <row r="123">
      <c r="A123" s="2">
        <f>IF(M123="","",RANK(M123,$M$2:$M$256))</f>
        <v/>
      </c>
      <c r="B123" t="inlineStr">
        <is>
          <t>Carina</t>
        </is>
      </c>
      <c r="C123" t="inlineStr">
        <is>
          <t>Itinerary B</t>
        </is>
      </c>
      <c r="D123" s="3" t="inlineStr">
        <is>
          <t>Sunday</t>
        </is>
      </c>
      <c r="E123" s="3" t="n">
        <v>8</v>
      </c>
      <c r="F123" t="n">
        <v>16</v>
      </c>
      <c r="G123" t="inlineStr">
        <is>
          <t>San Cristóbal Island Airport, San Cristóbal Island, Leon Dormido, Santa Cruz Island, Black Turtle Cove, North Seymour Island, Santa Cruz Island, Bachas Beach, Santa Cruz Island, Cerro Dragon, Rábida Island, Santiago Island, Puerto Egas, Isa</t>
        </is>
      </c>
      <c r="H123" s="3" t="n">
        <v>62.9</v>
      </c>
      <c r="I123" s="3" t="n">
        <v>199.6</v>
      </c>
      <c r="J123" s="2">
        <f>IF(OR(I123="",E123=""),"",ROUND(I123/E123,1))</f>
        <v/>
      </c>
      <c r="K123" s="2">
        <f>IFERROR(IF(H123="","",(H123-MIN($H$2:$H$256))/(MAX($H$2:$H$256)-MIN($H$2:$H$256))),"")</f>
        <v/>
      </c>
      <c r="L123" s="2">
        <f>IFERROR(IF(J123="","",(MAX($J$2:$J$256)-J123)/(MAX($J$2:$J$256)-MIN($J$2:$J$256))),"")</f>
        <v/>
      </c>
      <c r="M123" s="2">
        <f>IF(K123="","",ROUND(100*(Wit_quality*K123+Wit_nav*IF(L123="",0,L123)),1))</f>
        <v/>
      </c>
      <c r="N123" t="n">
        <v>65</v>
      </c>
    </row>
    <row r="124">
      <c r="A124" s="2">
        <f>IF(M124="","",RANK(M124,$M$2:$M$256))</f>
        <v/>
      </c>
      <c r="B124" t="inlineStr">
        <is>
          <t>REINA SILVIA</t>
        </is>
      </c>
      <c r="C124" t="inlineStr">
        <is>
          <t>Western Route</t>
        </is>
      </c>
      <c r="D124" s="3" t="inlineStr">
        <is>
          <t>Saturday</t>
        </is>
      </c>
      <c r="E124" s="3" t="n">
        <v>8</v>
      </c>
      <c r="F124" t="n">
        <v>17</v>
      </c>
      <c r="G124" t="inlineStr">
        <is>
          <t>Baltra Island Airport, Santa Cruz Island, Los Gemelos - Highlands, Floreana Island, Punta Cormorant - Champion Islet, Floreana Island, Post Office Bay, Floreana Island, Asilo de Paz, Isabela Island, Punta Moreno, Isabela Island, Elizabeth B</t>
        </is>
      </c>
      <c r="H124" s="3" t="n">
        <v>62.8</v>
      </c>
      <c r="I124" s="3" t="n">
        <v>240.6</v>
      </c>
      <c r="J124" s="2">
        <f>IF(OR(I124="",E124=""),"",ROUND(I124/E124,1))</f>
        <v/>
      </c>
      <c r="K124" s="2">
        <f>IFERROR(IF(H124="","",(H124-MIN($H$2:$H$256))/(MAX($H$2:$H$256)-MIN($H$2:$H$256))),"")</f>
        <v/>
      </c>
      <c r="L124" s="2">
        <f>IFERROR(IF(J124="","",(MAX($J$2:$J$256)-J124)/(MAX($J$2:$J$256)-MIN($J$2:$J$256))),"")</f>
        <v/>
      </c>
      <c r="M124" s="2">
        <f>IF(K124="","",ROUND(100*(Wit_quality*K124+Wit_nav*IF(L124="",0,L124)),1))</f>
        <v/>
      </c>
      <c r="N124" t="n">
        <v>63</v>
      </c>
    </row>
    <row r="125">
      <c r="A125" s="2">
        <f>IF(M125="","",RANK(M125,$M$2:$M$256))</f>
        <v/>
      </c>
      <c r="B125" t="inlineStr">
        <is>
          <t>TIP TOP IV</t>
        </is>
      </c>
      <c r="C125" t="inlineStr">
        <is>
          <t>Itinerary 2 5D</t>
        </is>
      </c>
      <c r="D125" s="3" t="inlineStr">
        <is>
          <t>Monday</t>
        </is>
      </c>
      <c r="E125" s="3" t="n">
        <v>5</v>
      </c>
      <c r="F125" t="n">
        <v>10</v>
      </c>
      <c r="G125" t="inlineStr">
        <is>
          <t>Baltra Island Airport, Santa Cruz Island, Black Turtle Cove, Sombero Chino Island, Rábida Island, Santiago Island, Sullivan Bay, Bartolomé Island, Santa Fe Island, South Plaza Island, Santa Cruz Island, Bachas Beach, Baltra Island Airport</t>
        </is>
      </c>
      <c r="H125" s="3" t="n">
        <v>62.8</v>
      </c>
      <c r="I125" s="3" t="n">
        <v>143.4</v>
      </c>
      <c r="J125" s="2">
        <f>IF(OR(I125="",E125=""),"",ROUND(I125/E125,1))</f>
        <v/>
      </c>
      <c r="K125" s="2">
        <f>IFERROR(IF(H125="","",(H125-MIN($H$2:$H$256))/(MAX($H$2:$H$256)-MIN($H$2:$H$256))),"")</f>
        <v/>
      </c>
      <c r="L125" s="2">
        <f>IFERROR(IF(J125="","",(MAX($J$2:$J$256)-J125)/(MAX($J$2:$J$256)-MIN($J$2:$J$256))),"")</f>
        <v/>
      </c>
      <c r="M125" s="2">
        <f>IF(K125="","",ROUND(100*(Wit_quality*K125+Wit_nav*IF(L125="",0,L125)),1))</f>
        <v/>
      </c>
      <c r="N125" t="n">
        <v>66</v>
      </c>
    </row>
    <row r="126">
      <c r="A126" s="2">
        <f>IF(M126="","",RANK(M126,$M$2:$M$256))</f>
        <v/>
      </c>
      <c r="B126" t="inlineStr">
        <is>
          <t>Grand Majestic</t>
        </is>
      </c>
      <c r="C126" t="inlineStr">
        <is>
          <t>B</t>
        </is>
      </c>
      <c r="D126" s="3" t="inlineStr">
        <is>
          <t>Monday</t>
        </is>
      </c>
      <c r="E126" s="3" t="n">
        <v>8</v>
      </c>
      <c r="F126" t="n">
        <v>17</v>
      </c>
      <c r="G126" t="inlineStr">
        <is>
          <t>San Cristóbal Island Airport, San Cristóbal Island, Tortoise breeding centre, North Seymour Island, Santa Cruz Island, Black Turtle Cove, Bartolomé Island, Santiago Island, Puerto Egas, Isabela Island, Tagus Cove, Isabela Island, Urbina Bay</t>
        </is>
      </c>
      <c r="H126" s="3" t="n">
        <v>62.7</v>
      </c>
      <c r="I126" s="3" t="n">
        <v>294.6</v>
      </c>
      <c r="J126" s="2">
        <f>IF(OR(I126="",E126=""),"",ROUND(I126/E126,1))</f>
        <v/>
      </c>
      <c r="K126" s="2">
        <f>IFERROR(IF(H126="","",(H126-MIN($H$2:$H$256))/(MAX($H$2:$H$256)-MIN($H$2:$H$256))),"")</f>
        <v/>
      </c>
      <c r="L126" s="2">
        <f>IFERROR(IF(J126="","",(MAX($J$2:$J$256)-J126)/(MAX($J$2:$J$256)-MIN($J$2:$J$256))),"")</f>
        <v/>
      </c>
      <c r="M126" s="2">
        <f>IF(K126="","",ROUND(100*(Wit_quality*K126+Wit_nav*IF(L126="",0,L126)),1))</f>
        <v/>
      </c>
      <c r="N126" t="n">
        <v>66</v>
      </c>
    </row>
    <row r="127">
      <c r="A127" s="2">
        <f>IF(M127="","",RANK(M127,$M$2:$M$256))</f>
        <v/>
      </c>
      <c r="B127" t="inlineStr">
        <is>
          <t>MONSERRAT</t>
        </is>
      </c>
      <c r="C127" t="inlineStr">
        <is>
          <t>Itinerary D</t>
        </is>
      </c>
      <c r="D127" s="3" t="inlineStr">
        <is>
          <t>Thursday</t>
        </is>
      </c>
      <c r="E127" s="3" t="n">
        <v>8</v>
      </c>
      <c r="F127" t="n">
        <v>16</v>
      </c>
      <c r="G127" t="inlineStr">
        <is>
          <t>Baltra Island Airport, Santa Cruz Island, Los Gemelos - Highlands, South Plaza Island, Santa Fe Island, San Cristóbal Island, Punta Pitt, San Cristóbal Island, Lobos Island, San Cristóbal Island, Interpretation Centre, San Cristóbal Island,</t>
        </is>
      </c>
      <c r="H127" s="3" t="n">
        <v>62.7</v>
      </c>
      <c r="I127" s="3" t="n">
        <v>213.6</v>
      </c>
      <c r="J127" s="2">
        <f>IF(OR(I127="",E127=""),"",ROUND(I127/E127,1))</f>
        <v/>
      </c>
      <c r="K127" s="2">
        <f>IFERROR(IF(H127="","",(H127-MIN($H$2:$H$256))/(MAX($H$2:$H$256)-MIN($H$2:$H$256))),"")</f>
        <v/>
      </c>
      <c r="L127" s="2">
        <f>IFERROR(IF(J127="","",(MAX($J$2:$J$256)-J127)/(MAX($J$2:$J$256)-MIN($J$2:$J$256))),"")</f>
        <v/>
      </c>
      <c r="M127" s="2">
        <f>IF(K127="","",ROUND(100*(Wit_quality*K127+Wit_nav*IF(L127="",0,L127)),1))</f>
        <v/>
      </c>
      <c r="N127" t="n">
        <v>64</v>
      </c>
    </row>
    <row r="128">
      <c r="A128" s="2">
        <f>IF(M128="","",RANK(M128,$M$2:$M$256))</f>
        <v/>
      </c>
      <c r="B128" t="inlineStr">
        <is>
          <t>TIP TOP II</t>
        </is>
      </c>
      <c r="C128" t="inlineStr">
        <is>
          <t>Option 2</t>
        </is>
      </c>
      <c r="D128" s="3" t="inlineStr">
        <is>
          <t>Friday</t>
        </is>
      </c>
      <c r="E128" s="3" t="n">
        <v>8</v>
      </c>
      <c r="F128" t="n">
        <v>19</v>
      </c>
      <c r="G128" t="inlineStr">
        <is>
          <t>Baltra Island Airport, Santa Cruz Island, Bachas Beach, Genovesa Island, Darwin Bay, Genovesa Island, Prince Phillip's Steps, South Plaza Island, Santa Fe Island, San Cristóbal Island, Interpretation Centre, San Cristóbal Island, Cerro Bruj</t>
        </is>
      </c>
      <c r="H128" s="3" t="n">
        <v>62.7</v>
      </c>
      <c r="I128" s="3" t="n">
        <v>370.4</v>
      </c>
      <c r="J128" s="2">
        <f>IF(OR(I128="",E128=""),"",ROUND(I128/E128,1))</f>
        <v/>
      </c>
      <c r="K128" s="2">
        <f>IFERROR(IF(H128="","",(H128-MIN($H$2:$H$256))/(MAX($H$2:$H$256)-MIN($H$2:$H$256))),"")</f>
        <v/>
      </c>
      <c r="L128" s="2">
        <f>IFERROR(IF(J128="","",(MAX($J$2:$J$256)-J128)/(MAX($J$2:$J$256)-MIN($J$2:$J$256))),"")</f>
        <v/>
      </c>
      <c r="M128" s="2">
        <f>IF(K128="","",ROUND(100*(Wit_quality*K128+Wit_nav*IF(L128="",0,L128)),1))</f>
        <v/>
      </c>
      <c r="N128" t="n">
        <v>63</v>
      </c>
    </row>
    <row r="129">
      <c r="A129" s="2">
        <f>IF(M129="","",RANK(M129,$M$2:$M$256))</f>
        <v/>
      </c>
      <c r="B129" t="inlineStr">
        <is>
          <t>OCEAN SPRAY</t>
        </is>
      </c>
      <c r="C129" t="inlineStr">
        <is>
          <t>Itinerary B</t>
        </is>
      </c>
      <c r="D129" s="3" t="inlineStr">
        <is>
          <t>Saturday</t>
        </is>
      </c>
      <c r="E129" s="3" t="n">
        <v>8</v>
      </c>
      <c r="F129" t="n">
        <v>16</v>
      </c>
      <c r="G129" t="inlineStr">
        <is>
          <t>San Cristóbal Island Airport, San Cristóbal Island, Leon Dormido, San Cristóbal Island, Punta Pitt, San Cristóbal Island, Cerro Brujo, Floreana Island, Post Office Bay, Floreana Island, Punta Cormorant - Devil`s Crown, Santa Cruz Island, Bl</t>
        </is>
      </c>
      <c r="H129" s="3" t="n">
        <v>62.5</v>
      </c>
      <c r="I129" s="3" t="n">
        <v>297</v>
      </c>
      <c r="J129" s="2">
        <f>IF(OR(I129="",E129=""),"",ROUND(I129/E129,1))</f>
        <v/>
      </c>
      <c r="K129" s="2">
        <f>IFERROR(IF(H129="","",(H129-MIN($H$2:$H$256))/(MAX($H$2:$H$256)-MIN($H$2:$H$256))),"")</f>
        <v/>
      </c>
      <c r="L129" s="2">
        <f>IFERROR(IF(J129="","",(MAX($J$2:$J$256)-J129)/(MAX($J$2:$J$256)-MIN($J$2:$J$256))),"")</f>
        <v/>
      </c>
      <c r="M129" s="2">
        <f>IF(K129="","",ROUND(100*(Wit_quality*K129+Wit_nav*IF(L129="",0,L129)),1))</f>
        <v/>
      </c>
      <c r="N129" t="n">
        <v>64</v>
      </c>
    </row>
    <row r="130">
      <c r="A130" s="2">
        <f>IF(M130="","",RANK(M130,$M$2:$M$256))</f>
        <v/>
      </c>
      <c r="B130" t="inlineStr">
        <is>
          <t>SEA MAN JOURNEY</t>
        </is>
      </c>
      <c r="C130" t="inlineStr">
        <is>
          <t>Itinerary A</t>
        </is>
      </c>
      <c r="D130" s="3" t="inlineStr">
        <is>
          <t>Friday</t>
        </is>
      </c>
      <c r="E130" s="3" t="n">
        <v>4</v>
      </c>
      <c r="F130" t="n">
        <v>8</v>
      </c>
      <c r="G130" t="inlineStr">
        <is>
          <t>Baltra Island Airport, North Seymour Island, Genovesa Island, Prince Phillip's Steps, Genovesa Island, Darwin Bay, South Plaza Island, Santa Fe Island, San Cristóbal Island, Interpretation Centre, San Cristóbal Island Airport</t>
        </is>
      </c>
      <c r="H130" s="3" t="n">
        <v>62.5</v>
      </c>
      <c r="I130" s="3" t="n">
        <v>159.6</v>
      </c>
      <c r="J130" s="2">
        <f>IF(OR(I130="",E130=""),"",ROUND(I130/E130,1))</f>
        <v/>
      </c>
      <c r="K130" s="2">
        <f>IFERROR(IF(H130="","",(H130-MIN($H$2:$H$256))/(MAX($H$2:$H$256)-MIN($H$2:$H$256))),"")</f>
        <v/>
      </c>
      <c r="L130" s="2">
        <f>IFERROR(IF(J130="","",(MAX($J$2:$J$256)-J130)/(MAX($J$2:$J$256)-MIN($J$2:$J$256))),"")</f>
        <v/>
      </c>
      <c r="M130" s="2">
        <f>IF(K130="","",ROUND(100*(Wit_quality*K130+Wit_nav*IF(L130="",0,L130)),1))</f>
        <v/>
      </c>
      <c r="N130" t="n">
        <v>76</v>
      </c>
    </row>
    <row r="131">
      <c r="A131" s="2">
        <f>IF(M131="","",RANK(M131,$M$2:$M$256))</f>
        <v/>
      </c>
      <c r="B131" t="inlineStr">
        <is>
          <t>ARCHIPELL II</t>
        </is>
      </c>
      <c r="C131" t="inlineStr">
        <is>
          <t>Itinerary A</t>
        </is>
      </c>
      <c r="D131" s="3" t="inlineStr">
        <is>
          <t>Monday</t>
        </is>
      </c>
      <c r="E131" s="3" t="n">
        <v>8</v>
      </c>
      <c r="F131" t="n">
        <v>16</v>
      </c>
      <c r="G131" t="inlineStr">
        <is>
          <t>San Cristóbal Island Airport, North Seymour Island, South Plaza Island, Santa Fe Island, Floreana Island, Asilo de Paz, Floreana Island, La Loberia, Santa Cruz Island, Darwin Station - Tortoise Centre, Santa Cruz Island, Los Gemelos - Highl</t>
        </is>
      </c>
      <c r="H131" s="3" t="n">
        <v>62.4</v>
      </c>
      <c r="I131" s="3" t="n">
        <v>319.3</v>
      </c>
      <c r="J131" s="2">
        <f>IF(OR(I131="",E131=""),"",ROUND(I131/E131,1))</f>
        <v/>
      </c>
      <c r="K131" s="2">
        <f>IFERROR(IF(H131="","",(H131-MIN($H$2:$H$256))/(MAX($H$2:$H$256)-MIN($H$2:$H$256))),"")</f>
        <v/>
      </c>
      <c r="L131" s="2">
        <f>IFERROR(IF(J131="","",(MAX($J$2:$J$256)-J131)/(MAX($J$2:$J$256)-MIN($J$2:$J$256))),"")</f>
        <v/>
      </c>
      <c r="M131" s="2">
        <f>IF(K131="","",ROUND(100*(Wit_quality*K131+Wit_nav*IF(L131="",0,L131)),1))</f>
        <v/>
      </c>
      <c r="N131" t="n">
        <v>66</v>
      </c>
    </row>
    <row r="132">
      <c r="A132" s="2">
        <f>IF(M132="","",RANK(M132,$M$2:$M$256))</f>
        <v/>
      </c>
      <c r="B132" t="inlineStr">
        <is>
          <t>BELUGA</t>
        </is>
      </c>
      <c r="C132" t="inlineStr">
        <is>
          <t>Santiago</t>
        </is>
      </c>
      <c r="D132" s="3" t="inlineStr">
        <is>
          <t>Tuesday</t>
        </is>
      </c>
      <c r="E132" s="3" t="n">
        <v>4</v>
      </c>
      <c r="F132" t="n">
        <v>8</v>
      </c>
      <c r="G132" t="inlineStr">
        <is>
          <t>Baltra Island Airport, Santa Cruz Island, Los Gemelos - Highlands, Sombero Chino Island, Santiago Island, Sullivan Bay, Genovesa Island, Darwin Bay, Genovesa Island, Prince Phillip's Steps, Santa Cruz Island, Black Turtle Cove, Baltra Islan</t>
        </is>
      </c>
      <c r="H132" s="3" t="n">
        <v>62.2</v>
      </c>
      <c r="I132" s="3" t="n">
        <v>175.5</v>
      </c>
      <c r="J132" s="2">
        <f>IF(OR(I132="",E132=""),"",ROUND(I132/E132,1))</f>
        <v/>
      </c>
      <c r="K132" s="2">
        <f>IFERROR(IF(H132="","",(H132-MIN($H$2:$H$256))/(MAX($H$2:$H$256)-MIN($H$2:$H$256))),"")</f>
        <v/>
      </c>
      <c r="L132" s="2">
        <f>IFERROR(IF(J132="","",(MAX($J$2:$J$256)-J132)/(MAX($J$2:$J$256)-MIN($J$2:$J$256))),"")</f>
        <v/>
      </c>
      <c r="M132" s="2">
        <f>IF(K132="","",ROUND(100*(Wit_quality*K132+Wit_nav*IF(L132="",0,L132)),1))</f>
        <v/>
      </c>
      <c r="N132" t="n">
        <v>68</v>
      </c>
    </row>
    <row r="133">
      <c r="A133" s="2">
        <f>IF(M133="","",RANK(M133,$M$2:$M$256))</f>
        <v/>
      </c>
      <c r="B133" t="inlineStr">
        <is>
          <t>ISABELA II</t>
        </is>
      </c>
      <c r="C133" t="inlineStr">
        <is>
          <t>Central Islands</t>
        </is>
      </c>
      <c r="D133" s="3" t="inlineStr">
        <is>
          <t>Monday</t>
        </is>
      </c>
      <c r="E133" s="3" t="n">
        <v>5</v>
      </c>
      <c r="F133" t="n">
        <v>9</v>
      </c>
      <c r="G133" t="inlineStr">
        <is>
          <t>Baltra Island Airport, Santa Cruz Island, Darwin Station - Tortoise Centre, Santa Fe Island, South Plaza Island, North Seymour Island, Santa Cruz Island, Bachas Beach, Bartolomé Island, Santiago Island, Sullivan Bay, Baltra Island Airport</t>
        </is>
      </c>
      <c r="H133" s="3" t="n">
        <v>62.2</v>
      </c>
      <c r="I133" s="3" t="n">
        <v>139.6</v>
      </c>
      <c r="J133" s="2">
        <f>IF(OR(I133="",E133=""),"",ROUND(I133/E133,1))</f>
        <v/>
      </c>
      <c r="K133" s="2">
        <f>IFERROR(IF(H133="","",(H133-MIN($H$2:$H$256))/(MAX($H$2:$H$256)-MIN($H$2:$H$256))),"")</f>
        <v/>
      </c>
      <c r="L133" s="2">
        <f>IFERROR(IF(J133="","",(MAX($J$2:$J$256)-J133)/(MAX($J$2:$J$256)-MIN($J$2:$J$256))),"")</f>
        <v/>
      </c>
      <c r="M133" s="2">
        <f>IF(K133="","",ROUND(100*(Wit_quality*K133+Wit_nav*IF(L133="",0,L133)),1))</f>
        <v/>
      </c>
      <c r="N133" t="n">
        <v>68</v>
      </c>
    </row>
    <row r="134">
      <c r="A134" s="2">
        <f>IF(M134="","",RANK(M134,$M$2:$M$256))</f>
        <v/>
      </c>
      <c r="B134" t="inlineStr">
        <is>
          <t>MERAK</t>
        </is>
      </c>
      <c r="C134" t="inlineStr">
        <is>
          <t>Itinerary B</t>
        </is>
      </c>
      <c r="D134" s="3" t="inlineStr">
        <is>
          <t>Monday</t>
        </is>
      </c>
      <c r="E134" s="3" t="n">
        <v>5</v>
      </c>
      <c r="F134" t="n">
        <v>10</v>
      </c>
      <c r="G134" t="inlineStr">
        <is>
          <t>Baltra Island Airport, Santa Cruz Island, Bachas Beach, South Plaza Island, Santa Fe Island, Española Island, Punta Suarez, Española Island, Gardner Bay, Floreana Island, Post Office Bay, Floreana Island, Punta Cormorant - Devil`s Crown, Sa</t>
        </is>
      </c>
      <c r="H134" s="3" t="n">
        <v>62.2</v>
      </c>
      <c r="I134" s="3" t="n">
        <v>178.3</v>
      </c>
      <c r="J134" s="2">
        <f>IF(OR(I134="",E134=""),"",ROUND(I134/E134,1))</f>
        <v/>
      </c>
      <c r="K134" s="2">
        <f>IFERROR(IF(H134="","",(H134-MIN($H$2:$H$256))/(MAX($H$2:$H$256)-MIN($H$2:$H$256))),"")</f>
        <v/>
      </c>
      <c r="L134" s="2">
        <f>IFERROR(IF(J134="","",(MAX($J$2:$J$256)-J134)/(MAX($J$2:$J$256)-MIN($J$2:$J$256))),"")</f>
        <v/>
      </c>
      <c r="M134" s="2">
        <f>IF(K134="","",ROUND(100*(Wit_quality*K134+Wit_nav*IF(L134="",0,L134)),1))</f>
        <v/>
      </c>
      <c r="N134" t="n">
        <v>65</v>
      </c>
    </row>
    <row r="135">
      <c r="A135" s="2">
        <f>IF(M135="","",RANK(M135,$M$2:$M$256))</f>
        <v/>
      </c>
      <c r="B135" t="inlineStr">
        <is>
          <t>Origin Theory &amp; Evolve</t>
        </is>
      </c>
      <c r="C135" t="inlineStr">
        <is>
          <t>Itinerary B - NW</t>
        </is>
      </c>
      <c r="D135" s="3" t="inlineStr">
        <is>
          <t>Sunday</t>
        </is>
      </c>
      <c r="E135" s="3" t="n"/>
      <c r="F135" t="n">
        <v>16</v>
      </c>
      <c r="G135" t="inlineStr">
        <is>
          <t>San Cristóbal Island Airport, San Cristóbal Island, Galapaguera, Genovesa Island, Darwin Bay, Genovesa Island, Prince Phillip's Steps, Santa Cruz Island, Bachas Beach, Santa Cruz Island, Cerro Dragon, Isabela, Punta Vicente Roca, Isabela Is</t>
        </is>
      </c>
      <c r="H135" s="3" t="n">
        <v>62.2</v>
      </c>
      <c r="I135" s="3" t="n">
        <v>340.2</v>
      </c>
      <c r="J135" s="2">
        <f>IF(OR(I135="",E135=""),"",ROUND(I135/E135,1))</f>
        <v/>
      </c>
      <c r="K135" s="2">
        <f>IFERROR(IF(H135="","",(H135-MIN($H$2:$H$256))/(MAX($H$2:$H$256)-MIN($H$2:$H$256))),"")</f>
        <v/>
      </c>
      <c r="L135" s="2">
        <f>IFERROR(IF(J135="","",(MAX($J$2:$J$256)-J135)/(MAX($J$2:$J$256)-MIN($J$2:$J$256))),"")</f>
        <v/>
      </c>
      <c r="M135" s="2">
        <f>IF(K135="","",ROUND(100*(Wit_quality*K135+Wit_nav*IF(L135="",0,L135)),1))</f>
        <v/>
      </c>
      <c r="N135" t="n">
        <v>67</v>
      </c>
    </row>
    <row r="136">
      <c r="A136" s="2">
        <f>IF(M136="","",RANK(M136,$M$2:$M$256))</f>
        <v/>
      </c>
      <c r="B136" t="inlineStr">
        <is>
          <t>ARCHIPELL I</t>
        </is>
      </c>
      <c r="C136" t="inlineStr">
        <is>
          <t>Itinerary A5</t>
        </is>
      </c>
      <c r="D136" s="3" t="inlineStr">
        <is>
          <t>Thursday</t>
        </is>
      </c>
      <c r="E136" s="3" t="n">
        <v>5</v>
      </c>
      <c r="F136" t="n">
        <v>10</v>
      </c>
      <c r="G136" t="inlineStr">
        <is>
          <t>Baltra Island Airport, Santa Cruz Island, Los Gemelos - Highlands, Isabela Island, Tintorera, Isabela Island, Villamil Tortoise Centre, Isabela Island, Punta Moreno, Isabela Island, Elizabeth Bay, Isabela Island, Tagus Cove, Fernandina Isla</t>
        </is>
      </c>
      <c r="H136" s="3" t="n">
        <v>62.1</v>
      </c>
      <c r="I136" s="3" t="n">
        <v>168.7</v>
      </c>
      <c r="J136" s="2">
        <f>IF(OR(I136="",E136=""),"",ROUND(I136/E136,1))</f>
        <v/>
      </c>
      <c r="K136" s="2">
        <f>IFERROR(IF(H136="","",(H136-MIN($H$2:$H$256))/(MAX($H$2:$H$256)-MIN($H$2:$H$256))),"")</f>
        <v/>
      </c>
      <c r="L136" s="2">
        <f>IFERROR(IF(J136="","",(MAX($J$2:$J$256)-J136)/(MAX($J$2:$J$256)-MIN($J$2:$J$256))),"")</f>
        <v/>
      </c>
      <c r="M136" s="2">
        <f>IF(K136="","",ROUND(100*(Wit_quality*K136+Wit_nav*IF(L136="",0,L136)),1))</f>
        <v/>
      </c>
      <c r="N136" t="n">
        <v>66</v>
      </c>
    </row>
    <row r="137">
      <c r="A137" s="2">
        <f>IF(M137="","",RANK(M137,$M$2:$M$256))</f>
        <v/>
      </c>
      <c r="B137" t="inlineStr">
        <is>
          <t>ARCHIPELL II</t>
        </is>
      </c>
      <c r="C137" t="inlineStr">
        <is>
          <t>Itinerary A2</t>
        </is>
      </c>
      <c r="D137" s="3" t="inlineStr">
        <is>
          <t>Thursday</t>
        </is>
      </c>
      <c r="E137" s="3" t="n">
        <v>5</v>
      </c>
      <c r="F137" t="n">
        <v>10</v>
      </c>
      <c r="G137" t="inlineStr">
        <is>
          <t>Baltra Island Airport, Santa Cruz Island, Los Gemelos - Highlands, Isabela Island, Tintorera, Isabela Island, Villamil Tortoise Centre, Isabela Island, Punta Moreno, Isabela Island, Elizabeth Bay, Isabela Island, Tagus Cove, Fernandina Isla</t>
        </is>
      </c>
      <c r="H137" s="3" t="n">
        <v>62.1</v>
      </c>
      <c r="I137" s="3" t="n">
        <v>168.7</v>
      </c>
      <c r="J137" s="2">
        <f>IF(OR(I137="",E137=""),"",ROUND(I137/E137,1))</f>
        <v/>
      </c>
      <c r="K137" s="2">
        <f>IFERROR(IF(H137="","",(H137-MIN($H$2:$H$256))/(MAX($H$2:$H$256)-MIN($H$2:$H$256))),"")</f>
        <v/>
      </c>
      <c r="L137" s="2">
        <f>IFERROR(IF(J137="","",(MAX($J$2:$J$256)-J137)/(MAX($J$2:$J$256)-MIN($J$2:$J$256))),"")</f>
        <v/>
      </c>
      <c r="M137" s="2">
        <f>IF(K137="","",ROUND(100*(Wit_quality*K137+Wit_nav*IF(L137="",0,L137)),1))</f>
        <v/>
      </c>
      <c r="N137" t="n">
        <v>66</v>
      </c>
    </row>
    <row r="138">
      <c r="A138" s="2">
        <f>IF(M138="","",RANK(M138,$M$2:$M$256))</f>
        <v/>
      </c>
      <c r="B138" t="inlineStr">
        <is>
          <t>Darwin</t>
        </is>
      </c>
      <c r="C138" t="inlineStr">
        <is>
          <t>b5</t>
        </is>
      </c>
      <c r="D138" s="3" t="inlineStr">
        <is>
          <t>Thursday</t>
        </is>
      </c>
      <c r="E138" s="3" t="n">
        <v>5</v>
      </c>
      <c r="F138" t="n">
        <v>10</v>
      </c>
      <c r="G138" t="inlineStr">
        <is>
          <t>Baltra Island Airport, Mosquera Island, South Plaza Island, Santa Fe Island, Española Island, Gardner Bay, Española Island, Punta Suarez, Floreana Island, Post Office Bay, Floreana Island, Punta Cormorant - Devil`s Crown, Santa Cruz Island,</t>
        </is>
      </c>
      <c r="H138" s="3" t="n">
        <v>62</v>
      </c>
      <c r="I138" s="3" t="n">
        <v>168.8</v>
      </c>
      <c r="J138" s="2">
        <f>IF(OR(I138="",E138=""),"",ROUND(I138/E138,1))</f>
        <v/>
      </c>
      <c r="K138" s="2">
        <f>IFERROR(IF(H138="","",(H138-MIN($H$2:$H$256))/(MAX($H$2:$H$256)-MIN($H$2:$H$256))),"")</f>
        <v/>
      </c>
      <c r="L138" s="2">
        <f>IFERROR(IF(J138="","",(MAX($J$2:$J$256)-J138)/(MAX($J$2:$J$256)-MIN($J$2:$J$256))),"")</f>
        <v/>
      </c>
      <c r="M138" s="2">
        <f>IF(K138="","",ROUND(100*(Wit_quality*K138+Wit_nav*IF(L138="",0,L138)),1))</f>
        <v/>
      </c>
      <c r="N138" t="n">
        <v>65</v>
      </c>
    </row>
    <row r="139">
      <c r="A139" s="2">
        <f>IF(M139="","",RANK(M139,$M$2:$M$256))</f>
        <v/>
      </c>
      <c r="B139" t="inlineStr">
        <is>
          <t>AIDA MARIA</t>
        </is>
      </c>
      <c r="C139" t="inlineStr">
        <is>
          <t>Itinerary A</t>
        </is>
      </c>
      <c r="D139" s="3" t="inlineStr">
        <is>
          <t>Sunday</t>
        </is>
      </c>
      <c r="E139" s="3" t="n">
        <v>8</v>
      </c>
      <c r="F139" t="n">
        <v>17</v>
      </c>
      <c r="G139" t="inlineStr">
        <is>
          <t>Baltra Island Airport, Santa Cruz Island, Bachas Beach, Genovesa Island, Darwin Bay, Genovesa Island, Prince Phillip's Steps, Bartolomé Island, Santiago Island, Sullivan Bay, Santa Cruz Island, Black Turtle Cove, Santa Cruz Island, Cerro Dr</t>
        </is>
      </c>
      <c r="H139" s="3" t="n">
        <v>61.9</v>
      </c>
      <c r="I139" s="3" t="n">
        <v>290.3</v>
      </c>
      <c r="J139" s="2">
        <f>IF(OR(I139="",E139=""),"",ROUND(I139/E139,1))</f>
        <v/>
      </c>
      <c r="K139" s="2">
        <f>IFERROR(IF(H139="","",(H139-MIN($H$2:$H$256))/(MAX($H$2:$H$256)-MIN($H$2:$H$256))),"")</f>
        <v/>
      </c>
      <c r="L139" s="2">
        <f>IFERROR(IF(J139="","",(MAX($J$2:$J$256)-J139)/(MAX($J$2:$J$256)-MIN($J$2:$J$256))),"")</f>
        <v/>
      </c>
      <c r="M139" s="2">
        <f>IF(K139="","",ROUND(100*(Wit_quality*K139+Wit_nav*IF(L139="",0,L139)),1))</f>
        <v/>
      </c>
      <c r="N139" t="n">
        <v>63</v>
      </c>
    </row>
    <row r="140">
      <c r="A140" s="2">
        <f>IF(M140="","",RANK(M140,$M$2:$M$256))</f>
        <v/>
      </c>
      <c r="B140" t="inlineStr">
        <is>
          <t>Carina</t>
        </is>
      </c>
      <c r="C140" t="inlineStr">
        <is>
          <t>Itinerary A</t>
        </is>
      </c>
      <c r="D140" s="3" t="inlineStr">
        <is>
          <t>Sunday</t>
        </is>
      </c>
      <c r="E140" s="3" t="n">
        <v>8</v>
      </c>
      <c r="F140" t="n">
        <v>16</v>
      </c>
      <c r="G140" t="inlineStr">
        <is>
          <t>Baltra Island Airport, Mosquera Island, Bartolomé Island, Santiago Island, Sullivan Bay, Sombero Chino Island, Santa Cruz Island, Whale Bay, Santa Cruz Island, Cerro Dragon, Santa Cruz Island, Bachas Beach, South Plaza Island, Santa Fe Isla</t>
        </is>
      </c>
      <c r="H140" s="3" t="n">
        <v>61.9</v>
      </c>
      <c r="I140" s="3" t="n">
        <v>243.1</v>
      </c>
      <c r="J140" s="2">
        <f>IF(OR(I140="",E140=""),"",ROUND(I140/E140,1))</f>
        <v/>
      </c>
      <c r="K140" s="2">
        <f>IFERROR(IF(H140="","",(H140-MIN($H$2:$H$256))/(MAX($H$2:$H$256)-MIN($H$2:$H$256))),"")</f>
        <v/>
      </c>
      <c r="L140" s="2">
        <f>IFERROR(IF(J140="","",(MAX($J$2:$J$256)-J140)/(MAX($J$2:$J$256)-MIN($J$2:$J$256))),"")</f>
        <v/>
      </c>
      <c r="M140" s="2">
        <f>IF(K140="","",ROUND(100*(Wit_quality*K140+Wit_nav*IF(L140="",0,L140)),1))</f>
        <v/>
      </c>
      <c r="N140" t="n">
        <v>61</v>
      </c>
    </row>
    <row r="141">
      <c r="A141" s="2">
        <f>IF(M141="","",RANK(M141,$M$2:$M$256))</f>
        <v/>
      </c>
      <c r="B141" t="inlineStr">
        <is>
          <t>Grace</t>
        </is>
      </c>
      <c r="C141" t="inlineStr">
        <is>
          <t>Itinerary B</t>
        </is>
      </c>
      <c r="D141" s="3" t="inlineStr">
        <is>
          <t>Saturday</t>
        </is>
      </c>
      <c r="E141" s="3" t="n">
        <v>8</v>
      </c>
      <c r="F141" t="n">
        <v>17</v>
      </c>
      <c r="G141" t="inlineStr">
        <is>
          <t>San Cristóbal Island Airport, San Cristóbal Island, Leon Dormido, Española Island, Punta Suarez, Española Island, Gardner Bay, Floreana Island, Post Office Bay, Floreana Island, Baroness' lookout, Floreana Island, Punta Cormorant - Champion</t>
        </is>
      </c>
      <c r="H141" s="3" t="n">
        <v>61.9</v>
      </c>
      <c r="I141" s="3" t="n">
        <v>215.6</v>
      </c>
      <c r="J141" s="2">
        <f>IF(OR(I141="",E141=""),"",ROUND(I141/E141,1))</f>
        <v/>
      </c>
      <c r="K141" s="2">
        <f>IFERROR(IF(H141="","",(H141-MIN($H$2:$H$256))/(MAX($H$2:$H$256)-MIN($H$2:$H$256))),"")</f>
        <v/>
      </c>
      <c r="L141" s="2">
        <f>IFERROR(IF(J141="","",(MAX($J$2:$J$256)-J141)/(MAX($J$2:$J$256)-MIN($J$2:$J$256))),"")</f>
        <v/>
      </c>
      <c r="M141" s="2">
        <f>IF(K141="","",ROUND(100*(Wit_quality*K141+Wit_nav*IF(L141="",0,L141)),1))</f>
        <v/>
      </c>
      <c r="N141" t="n">
        <v>64</v>
      </c>
    </row>
    <row r="142">
      <c r="A142" s="2">
        <f>IF(M142="","",RANK(M142,$M$2:$M$256))</f>
        <v/>
      </c>
      <c r="B142" t="inlineStr">
        <is>
          <t>LA PINTA</t>
        </is>
      </c>
      <c r="C142" t="inlineStr">
        <is>
          <t>Northern Islands</t>
        </is>
      </c>
      <c r="D142" s="3" t="inlineStr">
        <is>
          <t>Monday</t>
        </is>
      </c>
      <c r="E142" s="3" t="n">
        <v>5</v>
      </c>
      <c r="F142" t="n">
        <v>9</v>
      </c>
      <c r="G142" t="inlineStr">
        <is>
          <t>Baltra Island Airport, Santa Cruz Island, Los Gemelos - Highlands, Santa Cruz Island, El Eden Islet, Sombero Chino Island, Bartolomé Island, Santiago Island, Sullivan Bay, Genovesa Island, Darwin Bay, Genovesa Island, Prince Phillip's Steps</t>
        </is>
      </c>
      <c r="H142" s="3" t="n">
        <v>61.9</v>
      </c>
      <c r="I142" s="3" t="n">
        <v>156.4</v>
      </c>
      <c r="J142" s="2">
        <f>IF(OR(I142="",E142=""),"",ROUND(I142/E142,1))</f>
        <v/>
      </c>
      <c r="K142" s="2">
        <f>IFERROR(IF(H142="","",(H142-MIN($H$2:$H$256))/(MAX($H$2:$H$256)-MIN($H$2:$H$256))),"")</f>
        <v/>
      </c>
      <c r="L142" s="2">
        <f>IFERROR(IF(J142="","",(MAX($J$2:$J$256)-J142)/(MAX($J$2:$J$256)-MIN($J$2:$J$256))),"")</f>
        <v/>
      </c>
      <c r="M142" s="2">
        <f>IF(K142="","",ROUND(100*(Wit_quality*K142+Wit_nav*IF(L142="",0,L142)),1))</f>
        <v/>
      </c>
      <c r="N142" t="n">
        <v>66</v>
      </c>
    </row>
    <row r="143">
      <c r="A143" s="2">
        <f>IF(M143="","",RANK(M143,$M$2:$M$256))</f>
        <v/>
      </c>
      <c r="B143" t="inlineStr">
        <is>
          <t>Camila</t>
        </is>
      </c>
      <c r="C143" t="inlineStr">
        <is>
          <t>A 8Days</t>
        </is>
      </c>
      <c r="D143" s="3" t="inlineStr">
        <is>
          <t>Saturday</t>
        </is>
      </c>
      <c r="E143" s="3" t="n">
        <v>8</v>
      </c>
      <c r="F143" t="n">
        <v>16</v>
      </c>
      <c r="G143" t="inlineStr">
        <is>
          <t>Baltra Island Airport, Santiago Island, Sullivan Bay, Isabela, Punta Vicente Roca, Fernandina Island, Punta Espinoza, Isabela Island, Tagus Cove, Isabela Island, Urbina Bay, Isabela Island, Elizabeth Bay, Isabela Island, Punta Moreno, Santa</t>
        </is>
      </c>
      <c r="H143" s="3" t="n">
        <v>61.8</v>
      </c>
      <c r="I143" s="3" t="n">
        <v>300.1</v>
      </c>
      <c r="J143" s="2">
        <f>IF(OR(I143="",E143=""),"",ROUND(I143/E143,1))</f>
        <v/>
      </c>
      <c r="K143" s="2">
        <f>IFERROR(IF(H143="","",(H143-MIN($H$2:$H$256))/(MAX($H$2:$H$256)-MIN($H$2:$H$256))),"")</f>
        <v/>
      </c>
      <c r="L143" s="2">
        <f>IFERROR(IF(J143="","",(MAX($J$2:$J$256)-J143)/(MAX($J$2:$J$256)-MIN($J$2:$J$256))),"")</f>
        <v/>
      </c>
      <c r="M143" s="2">
        <f>IF(K143="","",ROUND(100*(Wit_quality*K143+Wit_nav*IF(L143="",0,L143)),1))</f>
        <v/>
      </c>
      <c r="N143" t="n">
        <v>64</v>
      </c>
    </row>
    <row r="144">
      <c r="A144" s="2">
        <f>IF(M144="","",RANK(M144,$M$2:$M$256))</f>
        <v/>
      </c>
      <c r="B144" t="inlineStr">
        <is>
          <t>LEGEND</t>
        </is>
      </c>
      <c r="C144" t="inlineStr">
        <is>
          <t>Itinerary C + D</t>
        </is>
      </c>
      <c r="D144" s="3" t="inlineStr">
        <is>
          <t>Monday</t>
        </is>
      </c>
      <c r="E144" s="3" t="n">
        <v>8</v>
      </c>
      <c r="F144" t="n">
        <v>17</v>
      </c>
      <c r="G144" t="inlineStr">
        <is>
          <t>Baltra Island Airport, Bartolomé Island, South Plaza Island, North Seymour Island, San Cristóbal Island, Punta Pitt, San Cristóbal Island, Cerro Brujo, San Cristóbal Island, Cerro Colorado, San Cristóbal Island, Interpretation Centre, Españ</t>
        </is>
      </c>
      <c r="H144" s="3" t="n">
        <v>61.8</v>
      </c>
      <c r="I144" s="3" t="n">
        <v>254.7</v>
      </c>
      <c r="J144" s="2">
        <f>IF(OR(I144="",E144=""),"",ROUND(I144/E144,1))</f>
        <v/>
      </c>
      <c r="K144" s="2">
        <f>IFERROR(IF(H144="","",(H144-MIN($H$2:$H$256))/(MAX($H$2:$H$256)-MIN($H$2:$H$256))),"")</f>
        <v/>
      </c>
      <c r="L144" s="2">
        <f>IFERROR(IF(J144="","",(MAX($J$2:$J$256)-J144)/(MAX($J$2:$J$256)-MIN($J$2:$J$256))),"")</f>
        <v/>
      </c>
      <c r="M144" s="2">
        <f>IF(K144="","",ROUND(100*(Wit_quality*K144+Wit_nav*IF(L144="",0,L144)),1))</f>
        <v/>
      </c>
      <c r="N144" t="n">
        <v>63</v>
      </c>
    </row>
    <row r="145">
      <c r="A145" s="2">
        <f>IF(M145="","",RANK(M145,$M$2:$M$256))</f>
        <v/>
      </c>
      <c r="B145" t="inlineStr">
        <is>
          <t>NATURAL PARADISE</t>
        </is>
      </c>
      <c r="C145" t="inlineStr">
        <is>
          <t>Itinerary B</t>
        </is>
      </c>
      <c r="D145" s="3" t="inlineStr">
        <is>
          <t>Tuesday</t>
        </is>
      </c>
      <c r="E145" s="3" t="n">
        <v>8</v>
      </c>
      <c r="F145" t="n">
        <v>17</v>
      </c>
      <c r="G145" t="inlineStr">
        <is>
          <t>Baltra Island Airport, Santa Cruz Island, El Eden Islet, Isabela, Punta Vicente Roca, Fernandina Island, Punta Espinoza, Isabela Island, Urbina Bay, Isabela Island, Punta Moreno, Isabela Island, Sierra Negra, Isabela Island, Wetlands, Isabe</t>
        </is>
      </c>
      <c r="H145" s="3" t="n">
        <v>61.8</v>
      </c>
      <c r="I145" s="3" t="n">
        <v>296.8</v>
      </c>
      <c r="J145" s="2">
        <f>IF(OR(I145="",E145=""),"",ROUND(I145/E145,1))</f>
        <v/>
      </c>
      <c r="K145" s="2">
        <f>IFERROR(IF(H145="","",(H145-MIN($H$2:$H$256))/(MAX($H$2:$H$256)-MIN($H$2:$H$256))),"")</f>
        <v/>
      </c>
      <c r="L145" s="2">
        <f>IFERROR(IF(J145="","",(MAX($J$2:$J$256)-J145)/(MAX($J$2:$J$256)-MIN($J$2:$J$256))),"")</f>
        <v/>
      </c>
      <c r="M145" s="2">
        <f>IF(K145="","",ROUND(100*(Wit_quality*K145+Wit_nav*IF(L145="",0,L145)),1))</f>
        <v/>
      </c>
      <c r="N145" t="n">
        <v>63</v>
      </c>
    </row>
    <row r="146">
      <c r="A146" s="2">
        <f>IF(M146="","",RANK(M146,$M$2:$M$256))</f>
        <v/>
      </c>
      <c r="B146" t="inlineStr">
        <is>
          <t>ODYSSEY</t>
        </is>
      </c>
      <c r="C146" t="inlineStr">
        <is>
          <t>Itinerary A</t>
        </is>
      </c>
      <c r="D146" s="3" t="inlineStr">
        <is>
          <t>Tuesday</t>
        </is>
      </c>
      <c r="E146" s="3" t="n">
        <v>6</v>
      </c>
      <c r="F146" t="n">
        <v>13</v>
      </c>
      <c r="G146" t="inlineStr">
        <is>
          <t>San Cristóbal Island Airport, San Cristóbal Island, Cerro Colorado, Española Island, Punta Suarez, Española Island, Gardner Bay, Floreana Island, Punta Cormorant - Devil`s Crown, Floreana Island, Baroness' lookout, Floreana Island, Post Off</t>
        </is>
      </c>
      <c r="H146" s="3" t="n">
        <v>61.8</v>
      </c>
      <c r="I146" s="3" t="n">
        <v>177.3</v>
      </c>
      <c r="J146" s="2">
        <f>IF(OR(I146="",E146=""),"",ROUND(I146/E146,1))</f>
        <v/>
      </c>
      <c r="K146" s="2">
        <f>IFERROR(IF(H146="","",(H146-MIN($H$2:$H$256))/(MAX($H$2:$H$256)-MIN($H$2:$H$256))),"")</f>
        <v/>
      </c>
      <c r="L146" s="2">
        <f>IFERROR(IF(J146="","",(MAX($J$2:$J$256)-J146)/(MAX($J$2:$J$256)-MIN($J$2:$J$256))),"")</f>
        <v/>
      </c>
      <c r="M146" s="2">
        <f>IF(K146="","",ROUND(100*(Wit_quality*K146+Wit_nav*IF(L146="",0,L146)),1))</f>
        <v/>
      </c>
      <c r="N146" t="n">
        <v>65</v>
      </c>
    </row>
    <row r="147">
      <c r="A147" s="2">
        <f>IF(M147="","",RANK(M147,$M$2:$M$256))</f>
        <v/>
      </c>
      <c r="B147" t="inlineStr">
        <is>
          <t>PETREL</t>
        </is>
      </c>
      <c r="C147" t="inlineStr">
        <is>
          <t>Itinerary B5</t>
        </is>
      </c>
      <c r="D147" s="3" t="inlineStr">
        <is>
          <t>Unknown</t>
        </is>
      </c>
      <c r="E147" s="3" t="n"/>
      <c r="F147" t="n">
        <v>11</v>
      </c>
      <c r="G147" t="inlineStr">
        <is>
          <t>Baltra Island Airport, Santa Cruz Island, Los Gemelos - Highlands, Santiago Island, Sullivan Bay, Bartolomé Island, Genovesa Island, Darwin Bay, Genovesa Island, Prince Phillip's Steps, Santiago Island, Puerto Egas, Santiago Island, Espumil</t>
        </is>
      </c>
      <c r="H147" s="3" t="n">
        <v>61.8</v>
      </c>
      <c r="I147" s="3" t="n">
        <v>206.8</v>
      </c>
      <c r="J147" s="2">
        <f>IF(OR(I147="",E147=""),"",ROUND(I147/E147,1))</f>
        <v/>
      </c>
      <c r="K147" s="2">
        <f>IFERROR(IF(H147="","",(H147-MIN($H$2:$H$256))/(MAX($H$2:$H$256)-MIN($H$2:$H$256))),"")</f>
        <v/>
      </c>
      <c r="L147" s="2">
        <f>IFERROR(IF(J147="","",(MAX($J$2:$J$256)-J147)/(MAX($J$2:$J$256)-MIN($J$2:$J$256))),"")</f>
        <v/>
      </c>
      <c r="M147" s="2">
        <f>IF(K147="","",ROUND(100*(Wit_quality*K147+Wit_nav*IF(L147="",0,L147)),1))</f>
        <v/>
      </c>
      <c r="N147" t="n">
        <v>65</v>
      </c>
    </row>
    <row r="148">
      <c r="A148" s="2">
        <f>IF(M148="","",RANK(M148,$M$2:$M$256))</f>
        <v/>
      </c>
      <c r="B148" t="inlineStr">
        <is>
          <t>OCEAN SPRAY</t>
        </is>
      </c>
      <c r="C148" t="inlineStr">
        <is>
          <t>Itinerary B6</t>
        </is>
      </c>
      <c r="D148" s="3" t="inlineStr">
        <is>
          <t>Tuesday</t>
        </is>
      </c>
      <c r="E148" s="3" t="n">
        <v>6</v>
      </c>
      <c r="F148" t="n">
        <v>12</v>
      </c>
      <c r="G148" t="inlineStr">
        <is>
          <t>Baltra Island Airport, Santa Fe Island, Española Island, Punta Suarez, Española Island, Gardner Bay, San Cristóbal Island, Interpretation Centre, San Cristóbal Island, Leon Dormido, San Cristóbal Island, Punta Pitt, San Cristóbal Island, Ce</t>
        </is>
      </c>
      <c r="H148" s="3" t="n">
        <v>61.7</v>
      </c>
      <c r="I148" s="3" t="n">
        <v>225</v>
      </c>
      <c r="J148" s="2">
        <f>IF(OR(I148="",E148=""),"",ROUND(I148/E148,1))</f>
        <v/>
      </c>
      <c r="K148" s="2">
        <f>IFERROR(IF(H148="","",(H148-MIN($H$2:$H$256))/(MAX($H$2:$H$256)-MIN($H$2:$H$256))),"")</f>
        <v/>
      </c>
      <c r="L148" s="2">
        <f>IFERROR(IF(J148="","",(MAX($J$2:$J$256)-J148)/(MAX($J$2:$J$256)-MIN($J$2:$J$256))),"")</f>
        <v/>
      </c>
      <c r="M148" s="2">
        <f>IF(K148="","",ROUND(100*(Wit_quality*K148+Wit_nav*IF(L148="",0,L148)),1))</f>
        <v/>
      </c>
      <c r="N148" t="n">
        <v>65</v>
      </c>
    </row>
    <row r="149">
      <c r="A149" s="2">
        <f>IF(M149="","",RANK(M149,$M$2:$M$256))</f>
        <v/>
      </c>
      <c r="B149" t="inlineStr">
        <is>
          <t>TIP TOP IV</t>
        </is>
      </c>
      <c r="C149" t="inlineStr">
        <is>
          <t>Itinerary 2 4D</t>
        </is>
      </c>
      <c r="D149" s="3" t="inlineStr">
        <is>
          <t>Friday</t>
        </is>
      </c>
      <c r="E149" s="3" t="n">
        <v>4</v>
      </c>
      <c r="F149" t="n">
        <v>8</v>
      </c>
      <c r="G149" t="inlineStr">
        <is>
          <t>Baltra Island Airport, Santa Cruz Island, Darwin Station - Tortoise Centre, Española Island, Punta Suarez, Española Island, Gardner Bay, San Cristóbal Island, Punta Pitt, San Cristóbal Island, Cerro Brujo, Mosquera Island, Baltra Island Air</t>
        </is>
      </c>
      <c r="H149" s="3" t="n">
        <v>61.7</v>
      </c>
      <c r="I149" s="3" t="n">
        <v>169.2</v>
      </c>
      <c r="J149" s="2">
        <f>IF(OR(I149="",E149=""),"",ROUND(I149/E149,1))</f>
        <v/>
      </c>
      <c r="K149" s="2">
        <f>IFERROR(IF(H149="","",(H149-MIN($H$2:$H$256))/(MAX($H$2:$H$256)-MIN($H$2:$H$256))),"")</f>
        <v/>
      </c>
      <c r="L149" s="2">
        <f>IFERROR(IF(J149="","",(MAX($J$2:$J$256)-J149)/(MAX($J$2:$J$256)-MIN($J$2:$J$256))),"")</f>
        <v/>
      </c>
      <c r="M149" s="2">
        <f>IF(K149="","",ROUND(100*(Wit_quality*K149+Wit_nav*IF(L149="",0,L149)),1))</f>
        <v/>
      </c>
      <c r="N149" t="n">
        <v>67</v>
      </c>
    </row>
    <row r="150">
      <c r="A150" s="2">
        <f>IF(M150="","",RANK(M150,$M$2:$M$256))</f>
        <v/>
      </c>
      <c r="B150" t="inlineStr">
        <is>
          <t>Aqua</t>
        </is>
      </c>
      <c r="C150" t="inlineStr">
        <is>
          <t>C 4Days</t>
        </is>
      </c>
      <c r="D150" s="3" t="inlineStr">
        <is>
          <t>Tuesday</t>
        </is>
      </c>
      <c r="E150" s="3" t="n">
        <v>4</v>
      </c>
      <c r="F150" t="n">
        <v>8</v>
      </c>
      <c r="G150" t="inlineStr">
        <is>
          <t>Baltra Island Airport, North Seymour Island, South Plaza Island, Santa Fe Island, Santa Cruz Island, Darwin Station - Tortoise Centre, Floreana Island, Punta Cormorant - Devil`s Crown, Santa Cruz Island, Cerro Dragon, Baltra Island Airport</t>
        </is>
      </c>
      <c r="H150" s="3" t="n">
        <v>61.6</v>
      </c>
      <c r="I150" s="3" t="n">
        <v>145.2</v>
      </c>
      <c r="J150" s="2">
        <f>IF(OR(I150="",E150=""),"",ROUND(I150/E150,1))</f>
        <v/>
      </c>
      <c r="K150" s="2">
        <f>IFERROR(IF(H150="","",(H150-MIN($H$2:$H$256))/(MAX($H$2:$H$256)-MIN($H$2:$H$256))),"")</f>
        <v/>
      </c>
      <c r="L150" s="2">
        <f>IFERROR(IF(J150="","",(MAX($J$2:$J$256)-J150)/(MAX($J$2:$J$256)-MIN($J$2:$J$256))),"")</f>
        <v/>
      </c>
      <c r="M150" s="2">
        <f>IF(K150="","",ROUND(100*(Wit_quality*K150+Wit_nav*IF(L150="",0,L150)),1))</f>
        <v/>
      </c>
      <c r="N150" t="n">
        <v>67</v>
      </c>
    </row>
    <row r="151">
      <c r="A151" s="2">
        <f>IF(M151="","",RANK(M151,$M$2:$M$256))</f>
        <v/>
      </c>
      <c r="B151" t="inlineStr">
        <is>
          <t>Galaxy</t>
        </is>
      </c>
      <c r="C151" t="inlineStr">
        <is>
          <t>Itinerary A</t>
        </is>
      </c>
      <c r="D151" s="3" t="inlineStr">
        <is>
          <t>Tuesday</t>
        </is>
      </c>
      <c r="E151" s="3" t="n">
        <v>5</v>
      </c>
      <c r="F151" t="n">
        <v>10</v>
      </c>
      <c r="G151" t="inlineStr">
        <is>
          <t xml:space="preserve">San Cristóbal Island Airport, San Cristóbal Island, Leon Dormido, Española Island, Gardner Bay, Española Island, Punta Suarez, Floreana Island, Post Office Bay, Floreana Island, Punta Cormorant - Devil`s Crown, Santa Fe Island, South Plaza </t>
        </is>
      </c>
      <c r="H151" s="3" t="n">
        <v>61.6</v>
      </c>
      <c r="I151" s="3" t="n">
        <v>158.3</v>
      </c>
      <c r="J151" s="2">
        <f>IF(OR(I151="",E151=""),"",ROUND(I151/E151,1))</f>
        <v/>
      </c>
      <c r="K151" s="2">
        <f>IFERROR(IF(H151="","",(H151-MIN($H$2:$H$256))/(MAX($H$2:$H$256)-MIN($H$2:$H$256))),"")</f>
        <v/>
      </c>
      <c r="L151" s="2">
        <f>IFERROR(IF(J151="","",(MAX($J$2:$J$256)-J151)/(MAX($J$2:$J$256)-MIN($J$2:$J$256))),"")</f>
        <v/>
      </c>
      <c r="M151" s="2">
        <f>IF(K151="","",ROUND(100*(Wit_quality*K151+Wit_nav*IF(L151="",0,L151)),1))</f>
        <v/>
      </c>
      <c r="N151" t="n">
        <v>67</v>
      </c>
    </row>
    <row r="152">
      <c r="A152" s="2">
        <f>IF(M152="","",RANK(M152,$M$2:$M$256))</f>
        <v/>
      </c>
      <c r="B152" t="inlineStr">
        <is>
          <t>NEMO I</t>
        </is>
      </c>
      <c r="C152" t="inlineStr">
        <is>
          <t>Itinerary A5</t>
        </is>
      </c>
      <c r="D152" s="3" t="inlineStr">
        <is>
          <t>Thursday</t>
        </is>
      </c>
      <c r="E152" s="3" t="n"/>
      <c r="F152" t="n">
        <v>10</v>
      </c>
      <c r="G152" t="inlineStr">
        <is>
          <t>Baltra Island Airport, Santa Cruz Island, Darwin Station - Tortoise Centre, Isabela Island, Punta Moreno, Isabela Island, Urbina Bay, Fernandina Island, Punta Espinoza, Isabela, Punta Vicente Roca, Santiago Island, Puerto Egas, Santiago Isl</t>
        </is>
      </c>
      <c r="H152" s="3" t="n">
        <v>61.6</v>
      </c>
      <c r="I152" s="3" t="n">
        <v>163.7</v>
      </c>
      <c r="J152" s="2">
        <f>IF(OR(I152="",E152=""),"",ROUND(I152/E152,1))</f>
        <v/>
      </c>
      <c r="K152" s="2">
        <f>IFERROR(IF(H152="","",(H152-MIN($H$2:$H$256))/(MAX($H$2:$H$256)-MIN($H$2:$H$256))),"")</f>
        <v/>
      </c>
      <c r="L152" s="2">
        <f>IFERROR(IF(J152="","",(MAX($J$2:$J$256)-J152)/(MAX($J$2:$J$256)-MIN($J$2:$J$256))),"")</f>
        <v/>
      </c>
      <c r="M152" s="2">
        <f>IF(K152="","",ROUND(100*(Wit_quality*K152+Wit_nav*IF(L152="",0,L152)),1))</f>
        <v/>
      </c>
      <c r="N152" t="n">
        <v>66</v>
      </c>
    </row>
    <row r="153">
      <c r="A153" s="2">
        <f>IF(M153="","",RANK(M153,$M$2:$M$256))</f>
        <v/>
      </c>
      <c r="B153" t="inlineStr">
        <is>
          <t>NATURAL PARADISE</t>
        </is>
      </c>
      <c r="C153" t="inlineStr">
        <is>
          <t>Itinerary A5</t>
        </is>
      </c>
      <c r="D153" s="3" t="inlineStr">
        <is>
          <t>Tuesday</t>
        </is>
      </c>
      <c r="E153" s="3" t="n">
        <v>5</v>
      </c>
      <c r="F153" t="n">
        <v>10</v>
      </c>
      <c r="G153" t="inlineStr">
        <is>
          <t>San Cristóbal Island Airport, San Cristóbal Island, Leon Dormido, North Seymour Island, South Plaza Island, Rábida Island, Bartolomé Island, Santiago Island, Sullivan Bay, Santa Cruz Island, Cerro Dragon, Santa Cruz Island, Los Gemelos - Hi</t>
        </is>
      </c>
      <c r="H153" s="3" t="n">
        <v>61.5</v>
      </c>
      <c r="I153" s="3" t="n">
        <v>172</v>
      </c>
      <c r="J153" s="2">
        <f>IF(OR(I153="",E153=""),"",ROUND(I153/E153,1))</f>
        <v/>
      </c>
      <c r="K153" s="2">
        <f>IFERROR(IF(H153="","",(H153-MIN($H$2:$H$256))/(MAX($H$2:$H$256)-MIN($H$2:$H$256))),"")</f>
        <v/>
      </c>
      <c r="L153" s="2">
        <f>IFERROR(IF(J153="","",(MAX($J$2:$J$256)-J153)/(MAX($J$2:$J$256)-MIN($J$2:$J$256))),"")</f>
        <v/>
      </c>
      <c r="M153" s="2">
        <f>IF(K153="","",ROUND(100*(Wit_quality*K153+Wit_nav*IF(L153="",0,L153)),1))</f>
        <v/>
      </c>
      <c r="N153" t="n">
        <v>66</v>
      </c>
    </row>
    <row r="154">
      <c r="A154" s="2">
        <f>IF(M154="","",RANK(M154,$M$2:$M$256))</f>
        <v/>
      </c>
      <c r="B154" t="inlineStr">
        <is>
          <t>NEMO III</t>
        </is>
      </c>
      <c r="C154" t="inlineStr">
        <is>
          <t>Itinerary A5</t>
        </is>
      </c>
      <c r="D154" s="3" t="inlineStr">
        <is>
          <t>Wednesday</t>
        </is>
      </c>
      <c r="E154" s="3" t="n">
        <v>5</v>
      </c>
      <c r="F154" t="n">
        <v>10</v>
      </c>
      <c r="G154" t="inlineStr">
        <is>
          <t>Baltra Island Airport, Santa Cruz Island, Darwin Station - Tortoise Centre, Isabela Island, Punta Moreno, Isabela Island, Urbina Bay, Fernandina Island, Punta Espinoza, Isabela Island, Tagus Cove, Santiago Island, Puerto Egas, Santiago Isla</t>
        </is>
      </c>
      <c r="H154" s="3" t="n">
        <v>61.5</v>
      </c>
      <c r="I154" s="3" t="n">
        <v>163.7</v>
      </c>
      <c r="J154" s="2">
        <f>IF(OR(I154="",E154=""),"",ROUND(I154/E154,1))</f>
        <v/>
      </c>
      <c r="K154" s="2">
        <f>IFERROR(IF(H154="","",(H154-MIN($H$2:$H$256))/(MAX($H$2:$H$256)-MIN($H$2:$H$256))),"")</f>
        <v/>
      </c>
      <c r="L154" s="2">
        <f>IFERROR(IF(J154="","",(MAX($J$2:$J$256)-J154)/(MAX($J$2:$J$256)-MIN($J$2:$J$256))),"")</f>
        <v/>
      </c>
      <c r="M154" s="2">
        <f>IF(K154="","",ROUND(100*(Wit_quality*K154+Wit_nav*IF(L154="",0,L154)),1))</f>
        <v/>
      </c>
      <c r="N154" t="n">
        <v>66</v>
      </c>
    </row>
    <row r="155">
      <c r="A155" s="2">
        <f>IF(M155="","",RANK(M155,$M$2:$M$256))</f>
        <v/>
      </c>
      <c r="B155" t="inlineStr">
        <is>
          <t>ALYA</t>
        </is>
      </c>
      <c r="C155" t="inlineStr">
        <is>
          <t>Itinerary A4</t>
        </is>
      </c>
      <c r="D155" s="3" t="inlineStr">
        <is>
          <t>Saturday</t>
        </is>
      </c>
      <c r="E155" s="3" t="n">
        <v>4</v>
      </c>
      <c r="F155" t="n">
        <v>8</v>
      </c>
      <c r="G155" t="inlineStr">
        <is>
          <t xml:space="preserve">San Cristóbal Island Airport, San Cristóbal Island, Lobos Island, San Cristóbal Island, Cerro Brujo, San Cristóbal Island, Punta Pitt, Española Island, Punta Suarez, Española Island, Gardner Bay, Santa Cruz Island, Los Gemelos - Highlands, </t>
        </is>
      </c>
      <c r="H155" s="3" t="n">
        <v>61.4</v>
      </c>
      <c r="I155" s="3" t="n">
        <v>110.7</v>
      </c>
      <c r="J155" s="2">
        <f>IF(OR(I155="",E155=""),"",ROUND(I155/E155,1))</f>
        <v/>
      </c>
      <c r="K155" s="2">
        <f>IFERROR(IF(H155="","",(H155-MIN($H$2:$H$256))/(MAX($H$2:$H$256)-MIN($H$2:$H$256))),"")</f>
        <v/>
      </c>
      <c r="L155" s="2">
        <f>IFERROR(IF(J155="","",(MAX($J$2:$J$256)-J155)/(MAX($J$2:$J$256)-MIN($J$2:$J$256))),"")</f>
        <v/>
      </c>
      <c r="M155" s="2">
        <f>IF(K155="","",ROUND(100*(Wit_quality*K155+Wit_nav*IF(L155="",0,L155)),1))</f>
        <v/>
      </c>
      <c r="N155" t="n">
        <v>70</v>
      </c>
    </row>
    <row r="156">
      <c r="A156" s="2">
        <f>IF(M156="","",RANK(M156,$M$2:$M$256))</f>
        <v/>
      </c>
      <c r="B156" t="inlineStr">
        <is>
          <t>Darwin</t>
        </is>
      </c>
      <c r="C156" t="inlineStr">
        <is>
          <t>8A</t>
        </is>
      </c>
      <c r="D156" s="3" t="inlineStr">
        <is>
          <t>Thursday</t>
        </is>
      </c>
      <c r="E156" s="3" t="n">
        <v>8</v>
      </c>
      <c r="F156" t="n">
        <v>16</v>
      </c>
      <c r="G156" t="inlineStr">
        <is>
          <t>Baltra Island Airport, Santa Cruz Island, Bachas Beach, San Cristóbal Island, Punta Pitt, San Cristóbal Island, Leon Dormido, San Cristóbal Island, Cerro Brujo, San Cristóbal Island, Lobos Island, Santa Cruz Island, Darwin Station - Tortois</t>
        </is>
      </c>
      <c r="H156" s="3" t="n">
        <v>61.4</v>
      </c>
      <c r="I156" s="3" t="n">
        <v>282.1</v>
      </c>
      <c r="J156" s="2">
        <f>IF(OR(I156="",E156=""),"",ROUND(I156/E156,1))</f>
        <v/>
      </c>
      <c r="K156" s="2">
        <f>IFERROR(IF(H156="","",(H156-MIN($H$2:$H$256))/(MAX($H$2:$H$256)-MIN($H$2:$H$256))),"")</f>
        <v/>
      </c>
      <c r="L156" s="2">
        <f>IFERROR(IF(J156="","",(MAX($J$2:$J$256)-J156)/(MAX($J$2:$J$256)-MIN($J$2:$J$256))),"")</f>
        <v/>
      </c>
      <c r="M156" s="2">
        <f>IF(K156="","",ROUND(100*(Wit_quality*K156+Wit_nav*IF(L156="",0,L156)),1))</f>
        <v/>
      </c>
      <c r="N156" t="n">
        <v>62</v>
      </c>
    </row>
    <row r="157">
      <c r="A157" s="2">
        <f>IF(M157="","",RANK(M157,$M$2:$M$256))</f>
        <v/>
      </c>
      <c r="B157" t="inlineStr">
        <is>
          <t>GALAPAGOS SEA STAR</t>
        </is>
      </c>
      <c r="C157" t="inlineStr">
        <is>
          <t>Itinerary A</t>
        </is>
      </c>
      <c r="D157" s="3" t="inlineStr">
        <is>
          <t>Tuesday</t>
        </is>
      </c>
      <c r="E157" s="3" t="n">
        <v>6</v>
      </c>
      <c r="F157" t="n">
        <v>13</v>
      </c>
      <c r="G157" t="inlineStr">
        <is>
          <t xml:space="preserve">San Cristóbal Island Airport, San Cristóbal Island, Tortoise breeding centre, Española Island, Punta Suarez, Española Island, Gardner Bay, Floreana Island, Punta Cormorant - Devil`s Crown, Floreana Island, Post Office Bay, Floreana Island, </t>
        </is>
      </c>
      <c r="H157" s="3" t="n">
        <v>61.4</v>
      </c>
      <c r="I157" s="3" t="n">
        <v>177.3</v>
      </c>
      <c r="J157" s="2">
        <f>IF(OR(I157="",E157=""),"",ROUND(I157/E157,1))</f>
        <v/>
      </c>
      <c r="K157" s="2">
        <f>IFERROR(IF(H157="","",(H157-MIN($H$2:$H$256))/(MAX($H$2:$H$256)-MIN($H$2:$H$256))),"")</f>
        <v/>
      </c>
      <c r="L157" s="2">
        <f>IFERROR(IF(J157="","",(MAX($J$2:$J$256)-J157)/(MAX($J$2:$J$256)-MIN($J$2:$J$256))),"")</f>
        <v/>
      </c>
      <c r="M157" s="2">
        <f>IF(K157="","",ROUND(100*(Wit_quality*K157+Wit_nav*IF(L157="",0,L157)),1))</f>
        <v/>
      </c>
      <c r="N157" t="n">
        <v>65</v>
      </c>
    </row>
    <row r="158">
      <c r="A158" s="2">
        <f>IF(M158="","",RANK(M158,$M$2:$M$256))</f>
        <v/>
      </c>
      <c r="B158" t="inlineStr">
        <is>
          <t>Flamingo</t>
        </is>
      </c>
      <c r="C158" t="inlineStr">
        <is>
          <t>Itinerary B</t>
        </is>
      </c>
      <c r="D158" s="3" t="inlineStr">
        <is>
          <t>Tuesday</t>
        </is>
      </c>
      <c r="E158" s="3" t="n">
        <v>8</v>
      </c>
      <c r="F158" t="n">
        <v>16</v>
      </c>
      <c r="G158" t="inlineStr">
        <is>
          <t>Baltra Island Airport, Santa Cruz Island, Los Gemelos - Highlands, San Cristóbal Island, Cerro Brujo, San Cristóbal Island, Punta Pitt, South Plaza Island, Mosquera Island, Daphne Major circumnavigation, Santa Cruz Island, Bachas Beach, San</t>
        </is>
      </c>
      <c r="H158" s="3" t="n">
        <v>61.3</v>
      </c>
      <c r="I158" s="3" t="n">
        <v>249.6</v>
      </c>
      <c r="J158" s="2">
        <f>IF(OR(I158="",E158=""),"",ROUND(I158/E158,1))</f>
        <v/>
      </c>
      <c r="K158" s="2">
        <f>IFERROR(IF(H158="","",(H158-MIN($H$2:$H$256))/(MAX($H$2:$H$256)-MIN($H$2:$H$256))),"")</f>
        <v/>
      </c>
      <c r="L158" s="2">
        <f>IFERROR(IF(J158="","",(MAX($J$2:$J$256)-J158)/(MAX($J$2:$J$256)-MIN($J$2:$J$256))),"")</f>
        <v/>
      </c>
      <c r="M158" s="2">
        <f>IF(K158="","",ROUND(100*(Wit_quality*K158+Wit_nav*IF(L158="",0,L158)),1))</f>
        <v/>
      </c>
      <c r="N158" t="n">
        <v>62</v>
      </c>
    </row>
    <row r="159">
      <c r="A159" s="2">
        <f>IF(M159="","",RANK(M159,$M$2:$M$256))</f>
        <v/>
      </c>
      <c r="B159" t="inlineStr">
        <is>
          <t>AIDA MARIA</t>
        </is>
      </c>
      <c r="C159" t="inlineStr">
        <is>
          <t>Itinerary C</t>
        </is>
      </c>
      <c r="D159" s="3" t="inlineStr">
        <is>
          <t>Sunday</t>
        </is>
      </c>
      <c r="E159" s="3" t="n">
        <v>5</v>
      </c>
      <c r="F159" t="n">
        <v>10</v>
      </c>
      <c r="G159" t="inlineStr">
        <is>
          <t>Baltra Island Airport, Santa Cruz Island, Bachas Beach, Genovesa Island, Darwin Bay, Genovesa Island, Prince Phillip's Steps, Bartolomé Island, Santiago Island, Sullivan Bay, Santa Cruz Island, Black Turtle Cove, Santa Cruz Island, Cerro Dr</t>
        </is>
      </c>
      <c r="H159" s="3" t="n">
        <v>61.1</v>
      </c>
      <c r="I159" s="3" t="n">
        <v>179</v>
      </c>
      <c r="J159" s="2">
        <f>IF(OR(I159="",E159=""),"",ROUND(I159/E159,1))</f>
        <v/>
      </c>
      <c r="K159" s="2">
        <f>IFERROR(IF(H159="","",(H159-MIN($H$2:$H$256))/(MAX($H$2:$H$256)-MIN($H$2:$H$256))),"")</f>
        <v/>
      </c>
      <c r="L159" s="2">
        <f>IFERROR(IF(J159="","",(MAX($J$2:$J$256)-J159)/(MAX($J$2:$J$256)-MIN($J$2:$J$256))),"")</f>
        <v/>
      </c>
      <c r="M159" s="2">
        <f>IF(K159="","",ROUND(100*(Wit_quality*K159+Wit_nav*IF(L159="",0,L159)),1))</f>
        <v/>
      </c>
      <c r="N159" t="n">
        <v>64</v>
      </c>
    </row>
    <row r="160">
      <c r="A160" s="2">
        <f>IF(M160="","",RANK(M160,$M$2:$M$256))</f>
        <v/>
      </c>
      <c r="B160" t="inlineStr">
        <is>
          <t>Eden</t>
        </is>
      </c>
      <c r="C160" t="inlineStr">
        <is>
          <t>Itinerary 1A</t>
        </is>
      </c>
      <c r="D160" s="3" t="inlineStr">
        <is>
          <t>Sunday</t>
        </is>
      </c>
      <c r="E160" s="3" t="n">
        <v>5</v>
      </c>
      <c r="F160" t="n">
        <v>10</v>
      </c>
      <c r="G160" t="inlineStr">
        <is>
          <t>Baltra Island Airport, Santa Cruz Island, Bachas Beach, Genovesa Island, Darwin Bay, Genovesa Island, Prince Phillip's Steps, Bartolomé Island, Santiago Island, Sullivan Bay, Santa Cruz Island, Black Turtle Cove, Santa Cruz Island, Cerro Dr</t>
        </is>
      </c>
      <c r="H160" s="3" t="n">
        <v>61.1</v>
      </c>
      <c r="I160" s="3" t="n">
        <v>179</v>
      </c>
      <c r="J160" s="2">
        <f>IF(OR(I160="",E160=""),"",ROUND(I160/E160,1))</f>
        <v/>
      </c>
      <c r="K160" s="2">
        <f>IFERROR(IF(H160="","",(H160-MIN($H$2:$H$256))/(MAX($H$2:$H$256)-MIN($H$2:$H$256))),"")</f>
        <v/>
      </c>
      <c r="L160" s="2">
        <f>IFERROR(IF(J160="","",(MAX($J$2:$J$256)-J160)/(MAX($J$2:$J$256)-MIN($J$2:$J$256))),"")</f>
        <v/>
      </c>
      <c r="M160" s="2">
        <f>IF(K160="","",ROUND(100*(Wit_quality*K160+Wit_nav*IF(L160="",0,L160)),1))</f>
        <v/>
      </c>
      <c r="N160" t="n">
        <v>64</v>
      </c>
    </row>
    <row r="161">
      <c r="A161" s="2">
        <f>IF(M161="","",RANK(M161,$M$2:$M$256))</f>
        <v/>
      </c>
      <c r="B161" t="inlineStr">
        <is>
          <t>Estrella de Mar</t>
        </is>
      </c>
      <c r="C161" t="inlineStr">
        <is>
          <t>Itinerary B5</t>
        </is>
      </c>
      <c r="D161" s="3" t="inlineStr">
        <is>
          <t>Monday</t>
        </is>
      </c>
      <c r="E161" s="3" t="n">
        <v>5</v>
      </c>
      <c r="F161" t="n">
        <v>10</v>
      </c>
      <c r="G161" t="inlineStr">
        <is>
          <t>San Cristóbal Island Airport, San Cristóbal Island, Lobos Island, San Cristóbal Island, Punta Pitt, San Cristóbal Island, Cerro Brujo, Española Island, Gardner Bay, Española Island, Punta Suarez, Floreana Island, Post Office Bay, Floreana I</t>
        </is>
      </c>
      <c r="H161" s="3" t="n">
        <v>61.1</v>
      </c>
      <c r="I161" s="3" t="n">
        <v>139.6</v>
      </c>
      <c r="J161" s="2">
        <f>IF(OR(I161="",E161=""),"",ROUND(I161/E161,1))</f>
        <v/>
      </c>
      <c r="K161" s="2">
        <f>IFERROR(IF(H161="","",(H161-MIN($H$2:$H$256))/(MAX($H$2:$H$256)-MIN($H$2:$H$256))),"")</f>
        <v/>
      </c>
      <c r="L161" s="2">
        <f>IFERROR(IF(J161="","",(MAX($J$2:$J$256)-J161)/(MAX($J$2:$J$256)-MIN($J$2:$J$256))),"")</f>
        <v/>
      </c>
      <c r="M161" s="2">
        <f>IF(K161="","",ROUND(100*(Wit_quality*K161+Wit_nav*IF(L161="",0,L161)),1))</f>
        <v/>
      </c>
      <c r="N161" t="n">
        <v>66</v>
      </c>
    </row>
    <row r="162">
      <c r="A162" s="2">
        <f>IF(M162="","",RANK(M162,$M$2:$M$256))</f>
        <v/>
      </c>
      <c r="B162" t="inlineStr">
        <is>
          <t>Flamingo</t>
        </is>
      </c>
      <c r="C162" t="inlineStr">
        <is>
          <t>Itinerary A</t>
        </is>
      </c>
      <c r="D162" s="3" t="inlineStr">
        <is>
          <t>Tuesday</t>
        </is>
      </c>
      <c r="E162" s="3" t="n">
        <v>8</v>
      </c>
      <c r="F162" t="n">
        <v>16</v>
      </c>
      <c r="G162" t="inlineStr">
        <is>
          <t>Baltra Island Airport, Santa Cruz Island, Los Gemelos - Highlands, Floreana Island, Punta Cormorant - Devil`s Crown, Floreana Island, Post Office Bay, Española Island, Punta Suarez, Española Island, Gardner Bay, San Cristóbal Island, Interp</t>
        </is>
      </c>
      <c r="H162" s="3" t="n">
        <v>61.1</v>
      </c>
      <c r="I162" s="3" t="n">
        <v>236.2</v>
      </c>
      <c r="J162" s="2">
        <f>IF(OR(I162="",E162=""),"",ROUND(I162/E162,1))</f>
        <v/>
      </c>
      <c r="K162" s="2">
        <f>IFERROR(IF(H162="","",(H162-MIN($H$2:$H$256))/(MAX($H$2:$H$256)-MIN($H$2:$H$256))),"")</f>
        <v/>
      </c>
      <c r="L162" s="2">
        <f>IFERROR(IF(J162="","",(MAX($J$2:$J$256)-J162)/(MAX($J$2:$J$256)-MIN($J$2:$J$256))),"")</f>
        <v/>
      </c>
      <c r="M162" s="2">
        <f>IF(K162="","",ROUND(100*(Wit_quality*K162+Wit_nav*IF(L162="",0,L162)),1))</f>
        <v/>
      </c>
      <c r="N162" t="n">
        <v>62</v>
      </c>
    </row>
    <row r="163">
      <c r="A163" s="2">
        <f>IF(M163="","",RANK(M163,$M$2:$M$256))</f>
        <v/>
      </c>
      <c r="B163" t="inlineStr">
        <is>
          <t>Galaxy</t>
        </is>
      </c>
      <c r="C163" t="inlineStr">
        <is>
          <t>Itinerary C</t>
        </is>
      </c>
      <c r="D163" s="3" t="inlineStr">
        <is>
          <t>Thursday</t>
        </is>
      </c>
      <c r="E163" s="3" t="n">
        <v>6</v>
      </c>
      <c r="F163" t="n">
        <v>12</v>
      </c>
      <c r="G163" t="inlineStr">
        <is>
          <t>Baltra Island Airport, Santa Cruz Island, Black Turtle Cove, Rábida Island, Sombero Chino Island, North Seymour Island, Mosquera Island, Santiago Island, Sullivan Bay, Bartolomé Island, Genovesa Island, Prince Phillip's Steps, Genovesa Isla</t>
        </is>
      </c>
      <c r="H163" s="3" t="n">
        <v>61.1</v>
      </c>
      <c r="I163" s="3" t="n">
        <v>229.4</v>
      </c>
      <c r="J163" s="2">
        <f>IF(OR(I163="",E163=""),"",ROUND(I163/E163,1))</f>
        <v/>
      </c>
      <c r="K163" s="2">
        <f>IFERROR(IF(H163="","",(H163-MIN($H$2:$H$256))/(MAX($H$2:$H$256)-MIN($H$2:$H$256))),"")</f>
        <v/>
      </c>
      <c r="L163" s="2">
        <f>IFERROR(IF(J163="","",(MAX($J$2:$J$256)-J163)/(MAX($J$2:$J$256)-MIN($J$2:$J$256))),"")</f>
        <v/>
      </c>
      <c r="M163" s="2">
        <f>IF(K163="","",ROUND(100*(Wit_quality*K163+Wit_nav*IF(L163="",0,L163)),1))</f>
        <v/>
      </c>
      <c r="N163" t="n">
        <v>67</v>
      </c>
    </row>
    <row r="164">
      <c r="A164" s="2">
        <f>IF(M164="","",RANK(M164,$M$2:$M$256))</f>
        <v/>
      </c>
      <c r="B164" t="inlineStr">
        <is>
          <t>ARCHIPELL I</t>
        </is>
      </c>
      <c r="C164" t="inlineStr">
        <is>
          <t>Itinerary A</t>
        </is>
      </c>
      <c r="D164" s="3" t="inlineStr">
        <is>
          <t>Monday</t>
        </is>
      </c>
      <c r="E164" s="3" t="n">
        <v>8</v>
      </c>
      <c r="F164" t="n">
        <v>18</v>
      </c>
      <c r="G164" t="inlineStr">
        <is>
          <t>San Cristóbal Island Airport, San Cristóbal Island, Cerro Colorado, San Cristóbal Island, Interpretation Centre, South Plaza Island, Santa Fe Island, Floreana Island, Champion islet, Floreana Island, La Loberia, Floreana Island, Asilo de Pa</t>
        </is>
      </c>
      <c r="H164" s="3" t="n">
        <v>61</v>
      </c>
      <c r="I164" s="3" t="n">
        <v>295.1</v>
      </c>
      <c r="J164" s="2">
        <f>IF(OR(I164="",E164=""),"",ROUND(I164/E164,1))</f>
        <v/>
      </c>
      <c r="K164" s="2">
        <f>IFERROR(IF(H164="","",(H164-MIN($H$2:$H$256))/(MAX($H$2:$H$256)-MIN($H$2:$H$256))),"")</f>
        <v/>
      </c>
      <c r="L164" s="2">
        <f>IFERROR(IF(J164="","",(MAX($J$2:$J$256)-J164)/(MAX($J$2:$J$256)-MIN($J$2:$J$256))),"")</f>
        <v/>
      </c>
      <c r="M164" s="2">
        <f>IF(K164="","",ROUND(100*(Wit_quality*K164+Wit_nav*IF(L164="",0,L164)),1))</f>
        <v/>
      </c>
      <c r="N164" t="n">
        <v>64</v>
      </c>
    </row>
    <row r="165">
      <c r="A165" s="2">
        <f>IF(M165="","",RANK(M165,$M$2:$M$256))</f>
        <v/>
      </c>
      <c r="B165" t="inlineStr">
        <is>
          <t>Daphne</t>
        </is>
      </c>
      <c r="C165" t="inlineStr">
        <is>
          <t>Itinerary B2</t>
        </is>
      </c>
      <c r="D165" s="3" t="inlineStr">
        <is>
          <t>Saturday</t>
        </is>
      </c>
      <c r="E165" s="3" t="n">
        <v>5</v>
      </c>
      <c r="F165" t="n">
        <v>10</v>
      </c>
      <c r="G165" t="inlineStr">
        <is>
          <t>San Cristóbal Island Airport, San Cristóbal Island, Interpretation Centre, Santa Fe Island, South Plaza Island, Genovesa Island, Prince Phillip's Steps, Genovesa Island, Darwin Bay, Santiago Island, Sullivan Bay, Rábida Island, Santa Cruz I</t>
        </is>
      </c>
      <c r="H165" s="3" t="n">
        <v>60.9</v>
      </c>
      <c r="I165" s="3" t="n">
        <v>214.5</v>
      </c>
      <c r="J165" s="2">
        <f>IF(OR(I165="",E165=""),"",ROUND(I165/E165,1))</f>
        <v/>
      </c>
      <c r="K165" s="2">
        <f>IFERROR(IF(H165="","",(H165-MIN($H$2:$H$256))/(MAX($H$2:$H$256)-MIN($H$2:$H$256))),"")</f>
        <v/>
      </c>
      <c r="L165" s="2">
        <f>IFERROR(IF(J165="","",(MAX($J$2:$J$256)-J165)/(MAX($J$2:$J$256)-MIN($J$2:$J$256))),"")</f>
        <v/>
      </c>
      <c r="M165" s="2">
        <f>IF(K165="","",ROUND(100*(Wit_quality*K165+Wit_nav*IF(L165="",0,L165)),1))</f>
        <v/>
      </c>
      <c r="N165" t="n">
        <v>69</v>
      </c>
    </row>
    <row r="166">
      <c r="A166" s="2">
        <f>IF(M166="","",RANK(M166,$M$2:$M$256))</f>
        <v/>
      </c>
      <c r="B166" t="inlineStr">
        <is>
          <t>Floreana</t>
        </is>
      </c>
      <c r="C166" t="inlineStr">
        <is>
          <t>South Itinerary</t>
        </is>
      </c>
      <c r="D166" s="3" t="inlineStr">
        <is>
          <t>Thursday</t>
        </is>
      </c>
      <c r="E166" s="3" t="n">
        <v>8</v>
      </c>
      <c r="F166" t="n">
        <v>16</v>
      </c>
      <c r="G166" t="inlineStr">
        <is>
          <t>Baltra Island Airport, North Seymour Island, Santa Cruz Island, Cerro Dragon, Santa Cruz Island, Whale Bay, Santa Cruz Island, Darwin Station - Tortoise Centre, Santa Cruz Island, Los Gemelos - Highlands, Floreana Island, Post Office Bay, F</t>
        </is>
      </c>
      <c r="H166" s="3" t="n">
        <v>60.8</v>
      </c>
      <c r="I166" s="3" t="n">
        <v>217.3</v>
      </c>
      <c r="J166" s="2">
        <f>IF(OR(I166="",E166=""),"",ROUND(I166/E166,1))</f>
        <v/>
      </c>
      <c r="K166" s="2">
        <f>IFERROR(IF(H166="","",(H166-MIN($H$2:$H$256))/(MAX($H$2:$H$256)-MIN($H$2:$H$256))),"")</f>
        <v/>
      </c>
      <c r="L166" s="2">
        <f>IFERROR(IF(J166="","",(MAX($J$2:$J$256)-J166)/(MAX($J$2:$J$256)-MIN($J$2:$J$256))),"")</f>
        <v/>
      </c>
      <c r="M166" s="2">
        <f>IF(K166="","",ROUND(100*(Wit_quality*K166+Wit_nav*IF(L166="",0,L166)),1))</f>
        <v/>
      </c>
      <c r="N166" t="n">
        <v>62</v>
      </c>
    </row>
    <row r="167">
      <c r="A167" s="2">
        <f>IF(M167="","",RANK(M167,$M$2:$M$256))</f>
        <v/>
      </c>
      <c r="B167" t="inlineStr">
        <is>
          <t>MERAK</t>
        </is>
      </c>
      <c r="C167" t="inlineStr">
        <is>
          <t>Itinerary C</t>
        </is>
      </c>
      <c r="D167" s="3" t="inlineStr">
        <is>
          <t>Friday</t>
        </is>
      </c>
      <c r="E167" s="3" t="n">
        <v>4</v>
      </c>
      <c r="F167" t="n">
        <v>8</v>
      </c>
      <c r="G167" t="inlineStr">
        <is>
          <t>Baltra Island Airport, Santa Cruz Island, Los Gemelos - Highlands, Rábida Island, Sombero Chino Island, Bartolomé Island, Santiago Island, Sullivan Bay, North Seymour Island, Baltra Island Airport</t>
        </is>
      </c>
      <c r="H167" s="3" t="n">
        <v>60.8</v>
      </c>
      <c r="I167" s="3" t="n">
        <v>91.40000000000001</v>
      </c>
      <c r="J167" s="2">
        <f>IF(OR(I167="",E167=""),"",ROUND(I167/E167,1))</f>
        <v/>
      </c>
      <c r="K167" s="2">
        <f>IFERROR(IF(H167="","",(H167-MIN($H$2:$H$256))/(MAX($H$2:$H$256)-MIN($H$2:$H$256))),"")</f>
        <v/>
      </c>
      <c r="L167" s="2">
        <f>IFERROR(IF(J167="","",(MAX($J$2:$J$256)-J167)/(MAX($J$2:$J$256)-MIN($J$2:$J$256))),"")</f>
        <v/>
      </c>
      <c r="M167" s="2">
        <f>IF(K167="","",ROUND(100*(Wit_quality*K167+Wit_nav*IF(L167="",0,L167)),1))</f>
        <v/>
      </c>
      <c r="N167" t="n">
        <v>67</v>
      </c>
    </row>
    <row r="168">
      <c r="A168" s="2">
        <f>IF(M168="","",RANK(M168,$M$2:$M$256))</f>
        <v/>
      </c>
      <c r="B168" t="inlineStr">
        <is>
          <t>MONSERRAT</t>
        </is>
      </c>
      <c r="C168" t="inlineStr">
        <is>
          <t>Itinerary C</t>
        </is>
      </c>
      <c r="D168" s="3" t="inlineStr">
        <is>
          <t>Thursday</t>
        </is>
      </c>
      <c r="E168" s="3" t="n">
        <v>8</v>
      </c>
      <c r="F168" t="n">
        <v>17</v>
      </c>
      <c r="G168" t="inlineStr">
        <is>
          <t>Baltra Island Airport, Santa Cruz Island, Los Gemelos - Highlands, Santiago Island, Sullivan Bay, Bartolomé Island, Santa Cruz Island, Bachas Beach, Santa Cruz Island, Cerro Dragon, Santa Cruz Island, Black Turtle Cove, Mosquera Island, Isa</t>
        </is>
      </c>
      <c r="H168" s="3" t="n">
        <v>60.8</v>
      </c>
      <c r="I168" s="3" t="n">
        <v>221.1</v>
      </c>
      <c r="J168" s="2">
        <f>IF(OR(I168="",E168=""),"",ROUND(I168/E168,1))</f>
        <v/>
      </c>
      <c r="K168" s="2">
        <f>IFERROR(IF(H168="","",(H168-MIN($H$2:$H$256))/(MAX($H$2:$H$256)-MIN($H$2:$H$256))),"")</f>
        <v/>
      </c>
      <c r="L168" s="2">
        <f>IFERROR(IF(J168="","",(MAX($J$2:$J$256)-J168)/(MAX($J$2:$J$256)-MIN($J$2:$J$256))),"")</f>
        <v/>
      </c>
      <c r="M168" s="2">
        <f>IF(K168="","",ROUND(100*(Wit_quality*K168+Wit_nav*IF(L168="",0,L168)),1))</f>
        <v/>
      </c>
      <c r="N168" t="n">
        <v>62</v>
      </c>
    </row>
    <row r="169">
      <c r="A169" s="2">
        <f>IF(M169="","",RANK(M169,$M$2:$M$256))</f>
        <v/>
      </c>
      <c r="B169" t="inlineStr">
        <is>
          <t>NEMO I</t>
        </is>
      </c>
      <c r="C169" t="inlineStr">
        <is>
          <t>Itinerary B4</t>
        </is>
      </c>
      <c r="D169" s="3" t="inlineStr">
        <is>
          <t>Friday</t>
        </is>
      </c>
      <c r="E169" s="3" t="n">
        <v>4</v>
      </c>
      <c r="F169" t="n">
        <v>8</v>
      </c>
      <c r="G169" t="inlineStr">
        <is>
          <t>Baltra Island Airport, Santa Cruz Island, Darwin Station - Tortoise Centre, San Cristóbal Island, Punta Pitt, San Cristóbal Island, Cerro Brujo, Santa Fe Island, South Plaza Island, Santa Cruz Island, Black Turtle Cove, Baltra Island Airpor</t>
        </is>
      </c>
      <c r="H169" s="3" t="n">
        <v>60.8</v>
      </c>
      <c r="I169" s="3" t="n">
        <v>147.2</v>
      </c>
      <c r="J169" s="2">
        <f>IF(OR(I169="",E169=""),"",ROUND(I169/E169,1))</f>
        <v/>
      </c>
      <c r="K169" s="2">
        <f>IFERROR(IF(H169="","",(H169-MIN($H$2:$H$256))/(MAX($H$2:$H$256)-MIN($H$2:$H$256))),"")</f>
        <v/>
      </c>
      <c r="L169" s="2">
        <f>IFERROR(IF(J169="","",(MAX($J$2:$J$256)-J169)/(MAX($J$2:$J$256)-MIN($J$2:$J$256))),"")</f>
        <v/>
      </c>
      <c r="M169" s="2">
        <f>IF(K169="","",ROUND(100*(Wit_quality*K169+Wit_nav*IF(L169="",0,L169)),1))</f>
        <v/>
      </c>
      <c r="N169" t="n">
        <v>67</v>
      </c>
    </row>
    <row r="170">
      <c r="A170" s="2">
        <f>IF(M170="","",RANK(M170,$M$2:$M$256))</f>
        <v/>
      </c>
      <c r="B170" t="inlineStr">
        <is>
          <t>Origin Theory &amp; Evolve</t>
        </is>
      </c>
      <c r="C170" t="inlineStr">
        <is>
          <t>Itinerary A - SE</t>
        </is>
      </c>
      <c r="D170" s="3" t="inlineStr">
        <is>
          <t>Sunday</t>
        </is>
      </c>
      <c r="E170" s="3" t="n">
        <v>8</v>
      </c>
      <c r="F170" t="n">
        <v>16</v>
      </c>
      <c r="G170" t="inlineStr">
        <is>
          <t>San Cristóbal Island Airport, San Cristóbal Island, Cerro Tijeretas, San Cristóbal Island, Punta Pitt, San Cristóbal Island, Cerro Brujo, Española Island, Punta Suarez, Española Island, Gardner Bay, Floreana Island, Punta Cormorant - Devil`</t>
        </is>
      </c>
      <c r="H170" s="3" t="n">
        <v>60.8</v>
      </c>
      <c r="I170" s="3" t="n">
        <v>251.8</v>
      </c>
      <c r="J170" s="2">
        <f>IF(OR(I170="",E170=""),"",ROUND(I170/E170,1))</f>
        <v/>
      </c>
      <c r="K170" s="2">
        <f>IFERROR(IF(H170="","",(H170-MIN($H$2:$H$256))/(MAX($H$2:$H$256)-MIN($H$2:$H$256))),"")</f>
        <v/>
      </c>
      <c r="L170" s="2">
        <f>IFERROR(IF(J170="","",(MAX($J$2:$J$256)-J170)/(MAX($J$2:$J$256)-MIN($J$2:$J$256))),"")</f>
        <v/>
      </c>
      <c r="M170" s="2">
        <f>IF(K170="","",ROUND(100*(Wit_quality*K170+Wit_nav*IF(L170="",0,L170)),1))</f>
        <v/>
      </c>
      <c r="N170" t="n">
        <v>65</v>
      </c>
    </row>
    <row r="171">
      <c r="A171" s="2">
        <f>IF(M171="","",RANK(M171,$M$2:$M$256))</f>
        <v/>
      </c>
      <c r="B171" t="inlineStr">
        <is>
          <t>AIDA MARIA</t>
        </is>
      </c>
      <c r="C171" t="inlineStr">
        <is>
          <t>Itinerary E</t>
        </is>
      </c>
      <c r="D171" s="3" t="inlineStr">
        <is>
          <t>Thursday</t>
        </is>
      </c>
      <c r="E171" s="3" t="n">
        <v>6</v>
      </c>
      <c r="F171" t="n">
        <v>13</v>
      </c>
      <c r="G171" t="inlineStr">
        <is>
          <t>Baltra Island Airport, Santa Cruz Island, Los Gemelos - Highlands, Floreana Island, Post Office Bay, Floreana Island, Baroness' lookout, Floreana Island, Punta Cormorant - Devil`s Crown, Española Island, Punta Suarez, Española Island, Gardn</t>
        </is>
      </c>
      <c r="H171" s="3" t="n">
        <v>60.7</v>
      </c>
      <c r="I171" s="3" t="n">
        <v>213.6</v>
      </c>
      <c r="J171" s="2">
        <f>IF(OR(I171="",E171=""),"",ROUND(I171/E171,1))</f>
        <v/>
      </c>
      <c r="K171" s="2">
        <f>IFERROR(IF(H171="","",(H171-MIN($H$2:$H$256))/(MAX($H$2:$H$256)-MIN($H$2:$H$256))),"")</f>
        <v/>
      </c>
      <c r="L171" s="2">
        <f>IFERROR(IF(J171="","",(MAX($J$2:$J$256)-J171)/(MAX($J$2:$J$256)-MIN($J$2:$J$256))),"")</f>
        <v/>
      </c>
      <c r="M171" s="2">
        <f>IF(K171="","",ROUND(100*(Wit_quality*K171+Wit_nav*IF(L171="",0,L171)),1))</f>
        <v/>
      </c>
      <c r="N171" t="n">
        <v>64</v>
      </c>
    </row>
    <row r="172">
      <c r="A172" s="2">
        <f>IF(M172="","",RANK(M172,$M$2:$M$256))</f>
        <v/>
      </c>
      <c r="B172" t="inlineStr">
        <is>
          <t>Camila</t>
        </is>
      </c>
      <c r="C172" t="inlineStr">
        <is>
          <t>C 4Days</t>
        </is>
      </c>
      <c r="D172" s="3" t="inlineStr">
        <is>
          <t>Saturday</t>
        </is>
      </c>
      <c r="E172" s="3" t="n">
        <v>4</v>
      </c>
      <c r="F172" t="n">
        <v>8</v>
      </c>
      <c r="G172" t="inlineStr">
        <is>
          <t>San Cristóbal Island Airport, San Cristóbal Island, Lobos Island, San Cristóbal Island, Punta Pitt, San Cristóbal Island, Cerro Brujo, Española Island, Punta Suarez, Española Island, Gardner Bay, Santa Cruz Island, Bachas Beach, Baltra Isla</t>
        </is>
      </c>
      <c r="H172" s="3" t="n">
        <v>60.7</v>
      </c>
      <c r="I172" s="3" t="n">
        <v>110.7</v>
      </c>
      <c r="J172" s="2">
        <f>IF(OR(I172="",E172=""),"",ROUND(I172/E172,1))</f>
        <v/>
      </c>
      <c r="K172" s="2">
        <f>IFERROR(IF(H172="","",(H172-MIN($H$2:$H$256))/(MAX($H$2:$H$256)-MIN($H$2:$H$256))),"")</f>
        <v/>
      </c>
      <c r="L172" s="2">
        <f>IFERROR(IF(J172="","",(MAX($J$2:$J$256)-J172)/(MAX($J$2:$J$256)-MIN($J$2:$J$256))),"")</f>
        <v/>
      </c>
      <c r="M172" s="2">
        <f>IF(K172="","",ROUND(100*(Wit_quality*K172+Wit_nav*IF(L172="",0,L172)),1))</f>
        <v/>
      </c>
      <c r="N172" t="n">
        <v>68</v>
      </c>
    </row>
    <row r="173">
      <c r="A173" s="2">
        <f>IF(M173="","",RANK(M173,$M$2:$M$256))</f>
        <v/>
      </c>
      <c r="B173" t="inlineStr">
        <is>
          <t>LEGEND</t>
        </is>
      </c>
      <c r="C173" t="inlineStr">
        <is>
          <t>Itinerary C</t>
        </is>
      </c>
      <c r="D173" s="3" t="inlineStr">
        <is>
          <t>Monday</t>
        </is>
      </c>
      <c r="E173" s="3" t="n">
        <v>4</v>
      </c>
      <c r="F173" t="n">
        <v>8</v>
      </c>
      <c r="G173" t="inlineStr">
        <is>
          <t>Baltra Island Airport, Bartolomé Island, South Plaza Island, North Seymour Island, San Cristóbal Island, Punta Pitt, San Cristóbal Island, Cerro Brujo, San Cristóbal Island, Cerro Colorado, San Cristóbal Island Airport</t>
        </is>
      </c>
      <c r="H173" s="3" t="n">
        <v>60.7</v>
      </c>
      <c r="I173" s="3" t="n">
        <v>118.8</v>
      </c>
      <c r="J173" s="2">
        <f>IF(OR(I173="",E173=""),"",ROUND(I173/E173,1))</f>
        <v/>
      </c>
      <c r="K173" s="2">
        <f>IFERROR(IF(H173="","",(H173-MIN($H$2:$H$256))/(MAX($H$2:$H$256)-MIN($H$2:$H$256))),"")</f>
        <v/>
      </c>
      <c r="L173" s="2">
        <f>IFERROR(IF(J173="","",(MAX($J$2:$J$256)-J173)/(MAX($J$2:$J$256)-MIN($J$2:$J$256))),"")</f>
        <v/>
      </c>
      <c r="M173" s="2">
        <f>IF(K173="","",ROUND(100*(Wit_quality*K173+Wit_nav*IF(L173="",0,L173)),1))</f>
        <v/>
      </c>
      <c r="N173" t="n">
        <v>69</v>
      </c>
    </row>
    <row r="174">
      <c r="A174" s="2">
        <f>IF(M174="","",RANK(M174,$M$2:$M$256))</f>
        <v/>
      </c>
      <c r="B174" t="inlineStr">
        <is>
          <t>PETREL</t>
        </is>
      </c>
      <c r="C174" t="inlineStr">
        <is>
          <t>Itinerary B6</t>
        </is>
      </c>
      <c r="D174" s="3" t="inlineStr">
        <is>
          <t>Wednesday</t>
        </is>
      </c>
      <c r="E174" s="3" t="n">
        <v>6</v>
      </c>
      <c r="F174" t="n">
        <v>13</v>
      </c>
      <c r="G174" t="inlineStr">
        <is>
          <t>Baltra Island Airport, Santa Cruz Island, Los Gemelos - Highlands, South Plaza Island, Santa Fe Island, San Cristóbal Island, Lobos Island, San Cristóbal Island, Interpretation Centre, San Cristóbal Island, Galapaguera, Española Island, Gar</t>
        </is>
      </c>
      <c r="H174" s="3" t="n">
        <v>60.7</v>
      </c>
      <c r="I174" s="3" t="n">
        <v>213.6</v>
      </c>
      <c r="J174" s="2">
        <f>IF(OR(I174="",E174=""),"",ROUND(I174/E174,1))</f>
        <v/>
      </c>
      <c r="K174" s="2">
        <f>IFERROR(IF(H174="","",(H174-MIN($H$2:$H$256))/(MAX($H$2:$H$256)-MIN($H$2:$H$256))),"")</f>
        <v/>
      </c>
      <c r="L174" s="2">
        <f>IFERROR(IF(J174="","",(MAX($J$2:$J$256)-J174)/(MAX($J$2:$J$256)-MIN($J$2:$J$256))),"")</f>
        <v/>
      </c>
      <c r="M174" s="2">
        <f>IF(K174="","",ROUND(100*(Wit_quality*K174+Wit_nav*IF(L174="",0,L174)),1))</f>
        <v/>
      </c>
      <c r="N174" t="n">
        <v>64</v>
      </c>
    </row>
    <row r="175">
      <c r="A175" s="2">
        <f>IF(M175="","",RANK(M175,$M$2:$M$256))</f>
        <v/>
      </c>
      <c r="B175" t="inlineStr">
        <is>
          <t>ARCHIPELL II</t>
        </is>
      </c>
      <c r="C175" t="inlineStr">
        <is>
          <t>Itinerary B2</t>
        </is>
      </c>
      <c r="D175" s="3" t="inlineStr">
        <is>
          <t>Thursday</t>
        </is>
      </c>
      <c r="E175" s="3" t="n">
        <v>5</v>
      </c>
      <c r="F175" t="n">
        <v>10</v>
      </c>
      <c r="G175" t="inlineStr">
        <is>
          <t>Baltra Island Airport, Santa Cruz Island, Los Gemelos - Highlands, Floreana Island, Punta Cormorant - Champion Islet, Floreana Island, Baroness' lookout, Española Island, Gardner Bay, Española Island, Punta Suarez, San Cristóbal Island, Pun</t>
        </is>
      </c>
      <c r="H175" s="3" t="n">
        <v>60.6</v>
      </c>
      <c r="I175" s="3" t="n">
        <v>135.9</v>
      </c>
      <c r="J175" s="2">
        <f>IF(OR(I175="",E175=""),"",ROUND(I175/E175,1))</f>
        <v/>
      </c>
      <c r="K175" s="2">
        <f>IFERROR(IF(H175="","",(H175-MIN($H$2:$H$256))/(MAX($H$2:$H$256)-MIN($H$2:$H$256))),"")</f>
        <v/>
      </c>
      <c r="L175" s="2">
        <f>IFERROR(IF(J175="","",(MAX($J$2:$J$256)-J175)/(MAX($J$2:$J$256)-MIN($J$2:$J$256))),"")</f>
        <v/>
      </c>
      <c r="M175" s="2">
        <f>IF(K175="","",ROUND(100*(Wit_quality*K175+Wit_nav*IF(L175="",0,L175)),1))</f>
        <v/>
      </c>
      <c r="N175" t="n">
        <v>66</v>
      </c>
    </row>
    <row r="176">
      <c r="A176" s="2">
        <f>IF(M176="","",RANK(M176,$M$2:$M$256))</f>
        <v/>
      </c>
      <c r="B176" t="inlineStr">
        <is>
          <t>Equinox</t>
        </is>
      </c>
      <c r="C176" t="inlineStr">
        <is>
          <t>Itinerary A</t>
        </is>
      </c>
      <c r="D176" s="3" t="inlineStr">
        <is>
          <t>Tuesday</t>
        </is>
      </c>
      <c r="E176" s="3" t="n">
        <v>8</v>
      </c>
      <c r="F176" t="n">
        <v>16</v>
      </c>
      <c r="G176" t="inlineStr">
        <is>
          <t>Baltra Island Airport, Santa Cruz Island, Black Turtle Cove, Genovesa Island, Prince Phillip's Steps, Genovesa Island, Darwin Bay, Santiago Island, Sullivan Bay, Rábida Island, Santa Cruz Island, Darwin Station - Tortoise Centre, Santa Cruz</t>
        </is>
      </c>
      <c r="H176" s="3" t="n">
        <v>60.6</v>
      </c>
      <c r="I176" s="3" t="n">
        <v>289.4</v>
      </c>
      <c r="J176" s="2">
        <f>IF(OR(I176="",E176=""),"",ROUND(I176/E176,1))</f>
        <v/>
      </c>
      <c r="K176" s="2">
        <f>IFERROR(IF(H176="","",(H176-MIN($H$2:$H$256))/(MAX($H$2:$H$256)-MIN($H$2:$H$256))),"")</f>
        <v/>
      </c>
      <c r="L176" s="2">
        <f>IFERROR(IF(J176="","",(MAX($J$2:$J$256)-J176)/(MAX($J$2:$J$256)-MIN($J$2:$J$256))),"")</f>
        <v/>
      </c>
      <c r="M176" s="2">
        <f>IF(K176="","",ROUND(100*(Wit_quality*K176+Wit_nav*IF(L176="",0,L176)),1))</f>
        <v/>
      </c>
      <c r="N176" t="n">
        <v>63</v>
      </c>
    </row>
    <row r="177">
      <c r="A177" s="2">
        <f>IF(M177="","",RANK(M177,$M$2:$M$256))</f>
        <v/>
      </c>
      <c r="B177" t="inlineStr">
        <is>
          <t>Infinity</t>
        </is>
      </c>
      <c r="C177" t="inlineStr">
        <is>
          <t>A 8Days</t>
        </is>
      </c>
      <c r="D177" s="3" t="inlineStr">
        <is>
          <t>Tuesday</t>
        </is>
      </c>
      <c r="E177" s="3" t="n">
        <v>8</v>
      </c>
      <c r="F177" t="n">
        <v>16</v>
      </c>
      <c r="G177" t="inlineStr">
        <is>
          <t>Baltra Island Airport, Santa Cruz Island, Black Turtle Cove, Genovesa Island, Prince Phillip's Steps, Genovesa Island, Darwin Bay, Santiago Island, Sullivan Bay, Rábida Island, Santa Cruz Island, Darwin Station - Tortoise Centre, Santa Cruz</t>
        </is>
      </c>
      <c r="H177" s="3" t="n">
        <v>60.6</v>
      </c>
      <c r="I177" s="3" t="n">
        <v>289.4</v>
      </c>
      <c r="J177" s="2">
        <f>IF(OR(I177="",E177=""),"",ROUND(I177/E177,1))</f>
        <v/>
      </c>
      <c r="K177" s="2">
        <f>IFERROR(IF(H177="","",(H177-MIN($H$2:$H$256))/(MAX($H$2:$H$256)-MIN($H$2:$H$256))),"")</f>
        <v/>
      </c>
      <c r="L177" s="2">
        <f>IFERROR(IF(J177="","",(MAX($J$2:$J$256)-J177)/(MAX($J$2:$J$256)-MIN($J$2:$J$256))),"")</f>
        <v/>
      </c>
      <c r="M177" s="2">
        <f>IF(K177="","",ROUND(100*(Wit_quality*K177+Wit_nav*IF(L177="",0,L177)),1))</f>
        <v/>
      </c>
      <c r="N177" t="n">
        <v>63</v>
      </c>
    </row>
    <row r="178">
      <c r="A178" s="2">
        <f>IF(M178="","",RANK(M178,$M$2:$M$256))</f>
        <v/>
      </c>
      <c r="B178" t="inlineStr">
        <is>
          <t>NEMO III</t>
        </is>
      </c>
      <c r="C178" t="inlineStr">
        <is>
          <t>Itinerary B4</t>
        </is>
      </c>
      <c r="D178" s="3" t="inlineStr">
        <is>
          <t>Tuesday</t>
        </is>
      </c>
      <c r="E178" s="3" t="n">
        <v>4</v>
      </c>
      <c r="F178" t="n">
        <v>8</v>
      </c>
      <c r="G178" t="inlineStr">
        <is>
          <t>Baltra Island Airport, Santa Cruz Island, Darwin Station - Tortoise Centre, South Plaza Island, Santa Fe Island, Bartolomé Island, Sombero Chino Island, Mosquera Island, Baltra Island Airport</t>
        </is>
      </c>
      <c r="H178" s="3" t="n">
        <v>60.6</v>
      </c>
      <c r="I178" s="3" t="n">
        <v>108.2</v>
      </c>
      <c r="J178" s="2">
        <f>IF(OR(I178="",E178=""),"",ROUND(I178/E178,1))</f>
        <v/>
      </c>
      <c r="K178" s="2">
        <f>IFERROR(IF(H178="","",(H178-MIN($H$2:$H$256))/(MAX($H$2:$H$256)-MIN($H$2:$H$256))),"")</f>
        <v/>
      </c>
      <c r="L178" s="2">
        <f>IFERROR(IF(J178="","",(MAX($J$2:$J$256)-J178)/(MAX($J$2:$J$256)-MIN($J$2:$J$256))),"")</f>
        <v/>
      </c>
      <c r="M178" s="2">
        <f>IF(K178="","",ROUND(100*(Wit_quality*K178+Wit_nav*IF(L178="",0,L178)),1))</f>
        <v/>
      </c>
      <c r="N178" t="n">
        <v>67</v>
      </c>
    </row>
    <row r="179">
      <c r="A179" s="2">
        <f>IF(M179="","",RANK(M179,$M$2:$M$256))</f>
        <v/>
      </c>
      <c r="B179" t="inlineStr">
        <is>
          <t>MONSERRAT</t>
        </is>
      </c>
      <c r="C179" t="inlineStr">
        <is>
          <t>Itinerary B</t>
        </is>
      </c>
      <c r="D179" s="3" t="inlineStr">
        <is>
          <t>Sunday</t>
        </is>
      </c>
      <c r="E179" s="3" t="n">
        <v>8</v>
      </c>
      <c r="F179" t="n">
        <v>16</v>
      </c>
      <c r="G179" t="inlineStr">
        <is>
          <t>San Cristóbal Island Airport, San Cristóbal Island, Galapaguera, San Cristóbal Island, Cerro Brujo, San Cristóbal Island, Leon Dormido, Española Island, Gardner Bay, Española Island, Punta Suarez, Floreana Island, Punta Cormorant - Champion</t>
        </is>
      </c>
      <c r="H179" s="3" t="n">
        <v>60.5</v>
      </c>
      <c r="I179" s="3" t="n">
        <v>201.2</v>
      </c>
      <c r="J179" s="2">
        <f>IF(OR(I179="",E179=""),"",ROUND(I179/E179,1))</f>
        <v/>
      </c>
      <c r="K179" s="2">
        <f>IFERROR(IF(H179="","",(H179-MIN($H$2:$H$256))/(MAX($H$2:$H$256)-MIN($H$2:$H$256))),"")</f>
        <v/>
      </c>
      <c r="L179" s="2">
        <f>IFERROR(IF(J179="","",(MAX($J$2:$J$256)-J179)/(MAX($J$2:$J$256)-MIN($J$2:$J$256))),"")</f>
        <v/>
      </c>
      <c r="M179" s="2">
        <f>IF(K179="","",ROUND(100*(Wit_quality*K179+Wit_nav*IF(L179="",0,L179)),1))</f>
        <v/>
      </c>
      <c r="N179" t="n">
        <v>62</v>
      </c>
    </row>
    <row r="180">
      <c r="A180" s="2">
        <f>IF(M180="","",RANK(M180,$M$2:$M$256))</f>
        <v/>
      </c>
      <c r="B180" t="inlineStr">
        <is>
          <t>ODYSSEY</t>
        </is>
      </c>
      <c r="C180" t="inlineStr">
        <is>
          <t>Itinerary C</t>
        </is>
      </c>
      <c r="D180" s="3" t="inlineStr">
        <is>
          <t>Thursday</t>
        </is>
      </c>
      <c r="E180" s="3" t="n">
        <v>6</v>
      </c>
      <c r="F180" t="n">
        <v>13</v>
      </c>
      <c r="G180" t="inlineStr">
        <is>
          <t>Baltra Island Airport, Santa Cruz Island, Darwin Station - Tortoise Centre, Isabela Island, Tintorera, Isabela Island, Sierra Negra, Isabela Island, Wetlands, Isabela Island, Punta Moreno, Isabela Island, Elizabeth Bay, Fernandina Island, P</t>
        </is>
      </c>
      <c r="H180" s="3" t="n">
        <v>60.5</v>
      </c>
      <c r="I180" s="3" t="n">
        <v>219.8</v>
      </c>
      <c r="J180" s="2">
        <f>IF(OR(I180="",E180=""),"",ROUND(I180/E180,1))</f>
        <v/>
      </c>
      <c r="K180" s="2">
        <f>IFERROR(IF(H180="","",(H180-MIN($H$2:$H$256))/(MAX($H$2:$H$256)-MIN($H$2:$H$256))),"")</f>
        <v/>
      </c>
      <c r="L180" s="2">
        <f>IFERROR(IF(J180="","",(MAX($J$2:$J$256)-J180)/(MAX($J$2:$J$256)-MIN($J$2:$J$256))),"")</f>
        <v/>
      </c>
      <c r="M180" s="2">
        <f>IF(K180="","",ROUND(100*(Wit_quality*K180+Wit_nav*IF(L180="",0,L180)),1))</f>
        <v/>
      </c>
      <c r="N180" t="n">
        <v>64</v>
      </c>
    </row>
    <row r="181">
      <c r="A181" s="2">
        <f>IF(M181="","",RANK(M181,$M$2:$M$256))</f>
        <v/>
      </c>
      <c r="B181" t="inlineStr">
        <is>
          <t>PETREL</t>
        </is>
      </c>
      <c r="C181" t="inlineStr">
        <is>
          <t>Itinerary B</t>
        </is>
      </c>
      <c r="D181" s="3" t="inlineStr">
        <is>
          <t>Friday</t>
        </is>
      </c>
      <c r="E181" s="3" t="n">
        <v>8</v>
      </c>
      <c r="F181" t="n">
        <v>18</v>
      </c>
      <c r="G181" t="inlineStr">
        <is>
          <t>San Cristóbal Island Airport, San Cristóbal Island, Interpretation Centre, San Cristóbal Island, Galapaguera, Española Island, Gardner Bay, Española Island, Punta Suarez, Floreana Island, Punta Cormorant - Devil`s Crown, Floreana Island, Po</t>
        </is>
      </c>
      <c r="H181" s="3" t="n">
        <v>60.5</v>
      </c>
      <c r="I181" s="3" t="n">
        <v>318</v>
      </c>
      <c r="J181" s="2">
        <f>IF(OR(I181="",E181=""),"",ROUND(I181/E181,1))</f>
        <v/>
      </c>
      <c r="K181" s="2">
        <f>IFERROR(IF(H181="","",(H181-MIN($H$2:$H$256))/(MAX($H$2:$H$256)-MIN($H$2:$H$256))),"")</f>
        <v/>
      </c>
      <c r="L181" s="2">
        <f>IFERROR(IF(J181="","",(MAX($J$2:$J$256)-J181)/(MAX($J$2:$J$256)-MIN($J$2:$J$256))),"")</f>
        <v/>
      </c>
      <c r="M181" s="2">
        <f>IF(K181="","",ROUND(100*(Wit_quality*K181+Wit_nav*IF(L181="",0,L181)),1))</f>
        <v/>
      </c>
      <c r="N181" t="n">
        <v>63</v>
      </c>
    </row>
    <row r="182">
      <c r="A182" s="2">
        <f>IF(M182="","",RANK(M182,$M$2:$M$256))</f>
        <v/>
      </c>
      <c r="B182" t="inlineStr">
        <is>
          <t>Equinox</t>
        </is>
      </c>
      <c r="C182" t="inlineStr">
        <is>
          <t>Itinerary A4</t>
        </is>
      </c>
      <c r="D182" s="3" t="inlineStr">
        <is>
          <t>Tuesday</t>
        </is>
      </c>
      <c r="E182" s="3" t="n">
        <v>4</v>
      </c>
      <c r="F182" t="n">
        <v>8</v>
      </c>
      <c r="G182" t="inlineStr">
        <is>
          <t>Baltra Island Airport, Santa Cruz Island, Black Turtle Cove, Genovesa Island, Prince Phillip's Steps, Genovesa Island, Darwin Bay, Santiago Island, Sullivan Bay, Rábida Island, Santa Cruz Island, Darwin Station - Tortoise Centre, Baltra Isl</t>
        </is>
      </c>
      <c r="H182" s="3" t="n">
        <v>60.4</v>
      </c>
      <c r="I182" s="3" t="n">
        <v>178.2</v>
      </c>
      <c r="J182" s="2">
        <f>IF(OR(I182="",E182=""),"",ROUND(I182/E182,1))</f>
        <v/>
      </c>
      <c r="K182" s="2">
        <f>IFERROR(IF(H182="","",(H182-MIN($H$2:$H$256))/(MAX($H$2:$H$256)-MIN($H$2:$H$256))),"")</f>
        <v/>
      </c>
      <c r="L182" s="2">
        <f>IFERROR(IF(J182="","",(MAX($J$2:$J$256)-J182)/(MAX($J$2:$J$256)-MIN($J$2:$J$256))),"")</f>
        <v/>
      </c>
      <c r="M182" s="2">
        <f>IF(K182="","",ROUND(100*(Wit_quality*K182+Wit_nav*IF(L182="",0,L182)),1))</f>
        <v/>
      </c>
      <c r="N182" t="n">
        <v>67</v>
      </c>
    </row>
    <row r="183">
      <c r="A183" s="2">
        <f>IF(M183="","",RANK(M183,$M$2:$M$256))</f>
        <v/>
      </c>
      <c r="B183" t="inlineStr">
        <is>
          <t>GALAPAGOS SEA STAR</t>
        </is>
      </c>
      <c r="C183" t="inlineStr">
        <is>
          <t>Itinerary C</t>
        </is>
      </c>
      <c r="D183" s="3" t="inlineStr">
        <is>
          <t>Thursday</t>
        </is>
      </c>
      <c r="E183" s="3" t="n">
        <v>6</v>
      </c>
      <c r="F183" t="n">
        <v>12</v>
      </c>
      <c r="G183" t="inlineStr">
        <is>
          <t>Baltra Island Airport, Santa Cruz Island, Darwin Station - Tortoise Centre, Isabela Island, Tintorera, Isabela Island, Sierra Negra, Isabela Island, Punta Moreno, Isabela Island, Elizabeth Bay, Fernandina Island, Punta Espinoza, Isabela Isl</t>
        </is>
      </c>
      <c r="H183" s="3" t="n">
        <v>60.4</v>
      </c>
      <c r="I183" s="3" t="n">
        <v>219.8</v>
      </c>
      <c r="J183" s="2">
        <f>IF(OR(I183="",E183=""),"",ROUND(I183/E183,1))</f>
        <v/>
      </c>
      <c r="K183" s="2">
        <f>IFERROR(IF(H183="","",(H183-MIN($H$2:$H$256))/(MAX($H$2:$H$256)-MIN($H$2:$H$256))),"")</f>
        <v/>
      </c>
      <c r="L183" s="2">
        <f>IFERROR(IF(J183="","",(MAX($J$2:$J$256)-J183)/(MAX($J$2:$J$256)-MIN($J$2:$J$256))),"")</f>
        <v/>
      </c>
      <c r="M183" s="2">
        <f>IF(K183="","",ROUND(100*(Wit_quality*K183+Wit_nav*IF(L183="",0,L183)),1))</f>
        <v/>
      </c>
      <c r="N183" t="n">
        <v>65</v>
      </c>
    </row>
    <row r="184">
      <c r="A184" s="2">
        <f>IF(M184="","",RANK(M184,$M$2:$M$256))</f>
        <v/>
      </c>
      <c r="B184" t="inlineStr">
        <is>
          <t>Infinity</t>
        </is>
      </c>
      <c r="C184" t="inlineStr">
        <is>
          <t>C 4Days</t>
        </is>
      </c>
      <c r="D184" s="3" t="inlineStr">
        <is>
          <t>Tuesday</t>
        </is>
      </c>
      <c r="E184" s="3" t="n">
        <v>4</v>
      </c>
      <c r="F184" t="n">
        <v>8</v>
      </c>
      <c r="G184" t="inlineStr">
        <is>
          <t>Baltra Island Airport, Santa Cruz Island, Black Turtle Cove, Genovesa Island, Prince Phillip's Steps, Genovesa Island, Darwin Bay, Santiago Island, Sullivan Bay, Rábida Island, Santa Cruz Island, Darwin Station - Tortoise Centre, Baltra Isl</t>
        </is>
      </c>
      <c r="H184" s="3" t="n">
        <v>60.4</v>
      </c>
      <c r="I184" s="3" t="n">
        <v>178.2</v>
      </c>
      <c r="J184" s="2">
        <f>IF(OR(I184="",E184=""),"",ROUND(I184/E184,1))</f>
        <v/>
      </c>
      <c r="K184" s="2">
        <f>IFERROR(IF(H184="","",(H184-MIN($H$2:$H$256))/(MAX($H$2:$H$256)-MIN($H$2:$H$256))),"")</f>
        <v/>
      </c>
      <c r="L184" s="2">
        <f>IFERROR(IF(J184="","",(MAX($J$2:$J$256)-J184)/(MAX($J$2:$J$256)-MIN($J$2:$J$256))),"")</f>
        <v/>
      </c>
      <c r="M184" s="2">
        <f>IF(K184="","",ROUND(100*(Wit_quality*K184+Wit_nav*IF(L184="",0,L184)),1))</f>
        <v/>
      </c>
      <c r="N184" t="n">
        <v>67</v>
      </c>
    </row>
    <row r="185">
      <c r="A185" s="2">
        <f>IF(M185="","",RANK(M185,$M$2:$M$256))</f>
        <v/>
      </c>
      <c r="B185" t="inlineStr">
        <is>
          <t>Cormorant</t>
        </is>
      </c>
      <c r="C185" t="inlineStr">
        <is>
          <t>Itinerary A5</t>
        </is>
      </c>
      <c r="D185" s="3" t="inlineStr">
        <is>
          <t>Saturday</t>
        </is>
      </c>
      <c r="E185" s="3" t="n">
        <v>5</v>
      </c>
      <c r="F185" t="n">
        <v>10</v>
      </c>
      <c r="G185" t="inlineStr">
        <is>
          <t>Baltra Island Airport, Santa Cruz Island, Bachas Beach, Bartolomé Island, Santiago Island, Sullivan Bay, South Plaza Island, Santa Fe Island, San Cristóbal Island, Cerro Brujo, San Cristóbal Island, Punta Pitt, San Cristóbal Island, Lobos I</t>
        </is>
      </c>
      <c r="H185" s="3" t="n">
        <v>60.3</v>
      </c>
      <c r="I185" s="3" t="n">
        <v>139.3</v>
      </c>
      <c r="J185" s="2">
        <f>IF(OR(I185="",E185=""),"",ROUND(I185/E185,1))</f>
        <v/>
      </c>
      <c r="K185" s="2">
        <f>IFERROR(IF(H185="","",(H185-MIN($H$2:$H$256))/(MAX($H$2:$H$256)-MIN($H$2:$H$256))),"")</f>
        <v/>
      </c>
      <c r="L185" s="2">
        <f>IFERROR(IF(J185="","",(MAX($J$2:$J$256)-J185)/(MAX($J$2:$J$256)-MIN($J$2:$J$256))),"")</f>
        <v/>
      </c>
      <c r="M185" s="2">
        <f>IF(K185="","",ROUND(100*(Wit_quality*K185+Wit_nav*IF(L185="",0,L185)),1))</f>
        <v/>
      </c>
      <c r="N185" t="n">
        <v>66</v>
      </c>
    </row>
    <row r="186">
      <c r="A186" s="2">
        <f>IF(M186="","",RANK(M186,$M$2:$M$256))</f>
        <v/>
      </c>
      <c r="B186" t="inlineStr">
        <is>
          <t>TREASURE OF GALAPAGOS</t>
        </is>
      </c>
      <c r="C186" t="inlineStr">
        <is>
          <t>B</t>
        </is>
      </c>
      <c r="D186" s="3" t="inlineStr">
        <is>
          <t>Tuesday</t>
        </is>
      </c>
      <c r="E186" s="3" t="n">
        <v>5</v>
      </c>
      <c r="F186" t="n">
        <v>10</v>
      </c>
      <c r="G186" t="inlineStr">
        <is>
          <t>San Cristóbal Island Airport, San Cristóbal Island, Cerro Colorado, Española Island, Gardner Bay, Española Island, Punta Suarez, Floreana Island, Post Office Bay, Floreana Island, Punta Cormorant - Champion Islet, Santa Fe Island, Santa Cru</t>
        </is>
      </c>
      <c r="H186" s="3" t="n">
        <v>60.3</v>
      </c>
      <c r="I186" s="3" t="n">
        <v>152.8</v>
      </c>
      <c r="J186" s="2">
        <f>IF(OR(I186="",E186=""),"",ROUND(I186/E186,1))</f>
        <v/>
      </c>
      <c r="K186" s="2">
        <f>IFERROR(IF(H186="","",(H186-MIN($H$2:$H$256))/(MAX($H$2:$H$256)-MIN($H$2:$H$256))),"")</f>
        <v/>
      </c>
      <c r="L186" s="2">
        <f>IFERROR(IF(J186="","",(MAX($J$2:$J$256)-J186)/(MAX($J$2:$J$256)-MIN($J$2:$J$256))),"")</f>
        <v/>
      </c>
      <c r="M186" s="2">
        <f>IF(K186="","",ROUND(100*(Wit_quality*K186+Wit_nav*IF(L186="",0,L186)),1))</f>
        <v/>
      </c>
      <c r="N186" t="n">
        <v>66</v>
      </c>
    </row>
    <row r="187">
      <c r="A187" s="2">
        <f>IF(M187="","",RANK(M187,$M$2:$M$256))</f>
        <v/>
      </c>
      <c r="B187" t="inlineStr">
        <is>
          <t>TREASURE OF GALAPAGOS</t>
        </is>
      </c>
      <c r="C187" t="inlineStr">
        <is>
          <t>C</t>
        </is>
      </c>
      <c r="D187" s="3" t="inlineStr">
        <is>
          <t>Saturday</t>
        </is>
      </c>
      <c r="E187" s="3" t="n">
        <v>7</v>
      </c>
      <c r="F187" t="n">
        <v>14</v>
      </c>
      <c r="G187" t="inlineStr">
        <is>
          <t>Baltra Island Airport, Santa Cruz Island, Darwin Station - Tortoise Centre, Santa Cruz Island, Whale Bay, Santa Cruz Island, Cerro Dragon, Isabela Island, Tintorera, Isabela Island, Wetlands, Isabela Island, Punta Moreno, Isabela Island, Ur</t>
        </is>
      </c>
      <c r="H187" s="3" t="n">
        <v>60.3</v>
      </c>
      <c r="I187" s="3" t="n">
        <v>180.9</v>
      </c>
      <c r="J187" s="2">
        <f>IF(OR(I187="",E187=""),"",ROUND(I187/E187,1))</f>
        <v/>
      </c>
      <c r="K187" s="2">
        <f>IFERROR(IF(H187="","",(H187-MIN($H$2:$H$256))/(MAX($H$2:$H$256)-MIN($H$2:$H$256))),"")</f>
        <v/>
      </c>
      <c r="L187" s="2">
        <f>IFERROR(IF(J187="","",(MAX($J$2:$J$256)-J187)/(MAX($J$2:$J$256)-MIN($J$2:$J$256))),"")</f>
        <v/>
      </c>
      <c r="M187" s="2">
        <f>IF(K187="","",ROUND(100*(Wit_quality*K187+Wit_nav*IF(L187="",0,L187)),1))</f>
        <v/>
      </c>
      <c r="N187" t="n">
        <v>61</v>
      </c>
    </row>
    <row r="188">
      <c r="A188" s="2">
        <f>IF(M188="","",RANK(M188,$M$2:$M$256))</f>
        <v/>
      </c>
      <c r="B188" t="inlineStr">
        <is>
          <t>NEMO III</t>
        </is>
      </c>
      <c r="C188" t="inlineStr">
        <is>
          <t>Itinerary A4</t>
        </is>
      </c>
      <c r="D188" s="3" t="inlineStr">
        <is>
          <t>Sunday</t>
        </is>
      </c>
      <c r="E188" s="3" t="n">
        <v>4</v>
      </c>
      <c r="F188" t="n">
        <v>8</v>
      </c>
      <c r="G188" t="inlineStr">
        <is>
          <t>Baltra Island Airport, Santa Cruz Island, Bachas Beach, Genovesa Island, Prince Phillip's Steps, Genovesa Island, Darwin Bay, Santiago Island, Sullivan Bay, Santa Cruz Island, Cerro Dragon, Santa Cruz Island, Los Gemelos - Highlands, Baltra</t>
        </is>
      </c>
      <c r="H188" s="3" t="n">
        <v>60.2</v>
      </c>
      <c r="I188" s="3" t="n">
        <v>175.4</v>
      </c>
      <c r="J188" s="2">
        <f>IF(OR(I188="",E188=""),"",ROUND(I188/E188,1))</f>
        <v/>
      </c>
      <c r="K188" s="2">
        <f>IFERROR(IF(H188="","",(H188-MIN($H$2:$H$256))/(MAX($H$2:$H$256)-MIN($H$2:$H$256))),"")</f>
        <v/>
      </c>
      <c r="L188" s="2">
        <f>IFERROR(IF(J188="","",(MAX($J$2:$J$256)-J188)/(MAX($J$2:$J$256)-MIN($J$2:$J$256))),"")</f>
        <v/>
      </c>
      <c r="M188" s="2">
        <f>IF(K188="","",ROUND(100*(Wit_quality*K188+Wit_nav*IF(L188="",0,L188)),1))</f>
        <v/>
      </c>
      <c r="N188" t="n">
        <v>64</v>
      </c>
    </row>
    <row r="189">
      <c r="A189" s="2">
        <f>IF(M189="","",RANK(M189,$M$2:$M$256))</f>
        <v/>
      </c>
      <c r="B189" t="inlineStr">
        <is>
          <t>Solaris</t>
        </is>
      </c>
      <c r="C189" t="inlineStr">
        <is>
          <t>itinerary D 5Days</t>
        </is>
      </c>
      <c r="D189" s="3" t="inlineStr">
        <is>
          <t>Friday</t>
        </is>
      </c>
      <c r="E189" s="3" t="n">
        <v>5</v>
      </c>
      <c r="F189" t="n">
        <v>10</v>
      </c>
      <c r="G189" t="inlineStr">
        <is>
          <t>San Cristóbal Island Airport, San Cristóbal Island, Interpretation Centre, Española Island, Gardner Bay, Española Island, Punta Suarez, Floreana Island, Post Office Bay, Floreana Island, Punta Cormorant - Champion Islet, Santiago Island, Su</t>
        </is>
      </c>
      <c r="H189" s="3" t="n">
        <v>60.1</v>
      </c>
      <c r="I189" s="3" t="n">
        <v>204.8</v>
      </c>
      <c r="J189" s="2">
        <f>IF(OR(I189="",E189=""),"",ROUND(I189/E189,1))</f>
        <v/>
      </c>
      <c r="K189" s="2">
        <f>IFERROR(IF(H189="","",(H189-MIN($H$2:$H$256))/(MAX($H$2:$H$256)-MIN($H$2:$H$256))),"")</f>
        <v/>
      </c>
      <c r="L189" s="2">
        <f>IFERROR(IF(J189="","",(MAX($J$2:$J$256)-J189)/(MAX($J$2:$J$256)-MIN($J$2:$J$256))),"")</f>
        <v/>
      </c>
      <c r="M189" s="2">
        <f>IF(K189="","",ROUND(100*(Wit_quality*K189+Wit_nav*IF(L189="",0,L189)),1))</f>
        <v/>
      </c>
      <c r="N189" t="n">
        <v>63</v>
      </c>
    </row>
    <row r="190">
      <c r="A190" s="2">
        <f>IF(M190="","",RANK(M190,$M$2:$M$256))</f>
        <v/>
      </c>
      <c r="B190" t="inlineStr">
        <is>
          <t>King of the Sea</t>
        </is>
      </c>
      <c r="C190" t="inlineStr">
        <is>
          <t>Itinerary B</t>
        </is>
      </c>
      <c r="D190" s="3" t="inlineStr">
        <is>
          <t>Monday</t>
        </is>
      </c>
      <c r="E190" s="3" t="n">
        <v>8</v>
      </c>
      <c r="F190" t="n">
        <v>16</v>
      </c>
      <c r="G190" t="inlineStr">
        <is>
          <t>Baltra Island Airport, Santa Cruz Island, Los Gemelos - Highlands, Isabela Island, Sierra Negra, Isabela Island, Wetlands, Santa Cruz Island, El Eden Islet, Santa Cruz Island, Cerro Dragon, North Seymour Island, Santa Cruz Island, Bachas Be</t>
        </is>
      </c>
      <c r="H190" s="3" t="n">
        <v>60</v>
      </c>
      <c r="I190" s="3" t="n">
        <v>225.3</v>
      </c>
      <c r="J190" s="2">
        <f>IF(OR(I190="",E190=""),"",ROUND(I190/E190,1))</f>
        <v/>
      </c>
      <c r="K190" s="2">
        <f>IFERROR(IF(H190="","",(H190-MIN($H$2:$H$256))/(MAX($H$2:$H$256)-MIN($H$2:$H$256))),"")</f>
        <v/>
      </c>
      <c r="L190" s="2">
        <f>IFERROR(IF(J190="","",(MAX($J$2:$J$256)-J190)/(MAX($J$2:$J$256)-MIN($J$2:$J$256))),"")</f>
        <v/>
      </c>
      <c r="M190" s="2">
        <f>IF(K190="","",ROUND(100*(Wit_quality*K190+Wit_nav*IF(L190="",0,L190)),1))</f>
        <v/>
      </c>
      <c r="N190" t="n">
        <v>61</v>
      </c>
    </row>
    <row r="191">
      <c r="A191" s="2">
        <f>IF(M191="","",RANK(M191,$M$2:$M$256))</f>
        <v/>
      </c>
      <c r="B191" t="inlineStr">
        <is>
          <t>MONSERRAT</t>
        </is>
      </c>
      <c r="C191" t="inlineStr">
        <is>
          <t>Itinerary A</t>
        </is>
      </c>
      <c r="D191" s="3" t="inlineStr">
        <is>
          <t>Sunday</t>
        </is>
      </c>
      <c r="E191" s="3" t="n">
        <v>8</v>
      </c>
      <c r="F191" t="n">
        <v>17</v>
      </c>
      <c r="G191" t="inlineStr">
        <is>
          <t xml:space="preserve">Baltra Island Airport, Mosquera Island, Isabela Island, Sierra Negra, Isabela Island, Villamil Tortoise Centre, Sombero Chino Island, Rábida Island, Santiago Island, Puerto Egas, Santiago Island, Espumilla Beach, Santiago Island, Buccaneer </t>
        </is>
      </c>
      <c r="H191" s="3" t="n">
        <v>60</v>
      </c>
      <c r="I191" s="3" t="n">
        <v>208.5</v>
      </c>
      <c r="J191" s="2">
        <f>IF(OR(I191="",E191=""),"",ROUND(I191/E191,1))</f>
        <v/>
      </c>
      <c r="K191" s="2">
        <f>IFERROR(IF(H191="","",(H191-MIN($H$2:$H$256))/(MAX($H$2:$H$256)-MIN($H$2:$H$256))),"")</f>
        <v/>
      </c>
      <c r="L191" s="2">
        <f>IFERROR(IF(J191="","",(MAX($J$2:$J$256)-J191)/(MAX($J$2:$J$256)-MIN($J$2:$J$256))),"")</f>
        <v/>
      </c>
      <c r="M191" s="2">
        <f>IF(K191="","",ROUND(100*(Wit_quality*K191+Wit_nav*IF(L191="",0,L191)),1))</f>
        <v/>
      </c>
      <c r="N191" t="n">
        <v>64</v>
      </c>
    </row>
    <row r="192">
      <c r="A192" s="2">
        <f>IF(M192="","",RANK(M192,$M$2:$M$256))</f>
        <v/>
      </c>
      <c r="B192" t="inlineStr">
        <is>
          <t>Coral I</t>
        </is>
      </c>
      <c r="C192" t="inlineStr">
        <is>
          <t>Itinerary C</t>
        </is>
      </c>
      <c r="D192" s="3" t="inlineStr">
        <is>
          <t>Sunday</t>
        </is>
      </c>
      <c r="E192" s="3" t="n">
        <v>4</v>
      </c>
      <c r="F192" t="n">
        <v>9</v>
      </c>
      <c r="G192" t="inlineStr">
        <is>
          <t xml:space="preserve">Baltra Island Airport, Santa Cruz Island, Darwin Station - Tortoise Centre, Mosquera Island, North Seymour Island, Santa Fe Island, South Plaza Island, San Cristóbal Island, Leon Dormido, San Cristóbal Island, Cerro Colorado, San Cristóbal </t>
        </is>
      </c>
      <c r="H192" s="3" t="n">
        <v>59.9</v>
      </c>
      <c r="I192" s="3" t="n">
        <v>118.1</v>
      </c>
      <c r="J192" s="2">
        <f>IF(OR(I192="",E192=""),"",ROUND(I192/E192,1))</f>
        <v/>
      </c>
      <c r="K192" s="2">
        <f>IFERROR(IF(H192="","",(H192-MIN($H$2:$H$256))/(MAX($H$2:$H$256)-MIN($H$2:$H$256))),"")</f>
        <v/>
      </c>
      <c r="L192" s="2">
        <f>IFERROR(IF(J192="","",(MAX($J$2:$J$256)-J192)/(MAX($J$2:$J$256)-MIN($J$2:$J$256))),"")</f>
        <v/>
      </c>
      <c r="M192" s="2">
        <f>IF(K192="","",ROUND(100*(Wit_quality*K192+Wit_nav*IF(L192="",0,L192)),1))</f>
        <v/>
      </c>
      <c r="N192" t="n">
        <v>68</v>
      </c>
    </row>
    <row r="193">
      <c r="A193" s="2">
        <f>IF(M193="","",RANK(M193,$M$2:$M$256))</f>
        <v/>
      </c>
      <c r="B193" t="inlineStr">
        <is>
          <t>Coral II</t>
        </is>
      </c>
      <c r="C193" t="inlineStr">
        <is>
          <t>Itinerary C</t>
        </is>
      </c>
      <c r="D193" s="3" t="inlineStr">
        <is>
          <t>Sunday</t>
        </is>
      </c>
      <c r="E193" s="3" t="n">
        <v>4</v>
      </c>
      <c r="F193" t="n">
        <v>9</v>
      </c>
      <c r="G193" t="inlineStr">
        <is>
          <t xml:space="preserve">Baltra Island Airport, Santa Cruz Island, Darwin Station - Tortoise Centre, Mosquera Island, North Seymour Island, Santa Fe Island, South Plaza Island, San Cristóbal Island, Leon Dormido, San Cristóbal Island, Cerro Colorado, San Cristóbal </t>
        </is>
      </c>
      <c r="H193" s="3" t="n">
        <v>59.9</v>
      </c>
      <c r="I193" s="3" t="n">
        <v>118.1</v>
      </c>
      <c r="J193" s="2">
        <f>IF(OR(I193="",E193=""),"",ROUND(I193/E193,1))</f>
        <v/>
      </c>
      <c r="K193" s="2">
        <f>IFERROR(IF(H193="","",(H193-MIN($H$2:$H$256))/(MAX($H$2:$H$256)-MIN($H$2:$H$256))),"")</f>
        <v/>
      </c>
      <c r="L193" s="2">
        <f>IFERROR(IF(J193="","",(MAX($J$2:$J$256)-J193)/(MAX($J$2:$J$256)-MIN($J$2:$J$256))),"")</f>
        <v/>
      </c>
      <c r="M193" s="2">
        <f>IF(K193="","",ROUND(100*(Wit_quality*K193+Wit_nav*IF(L193="",0,L193)),1))</f>
        <v/>
      </c>
      <c r="N193" t="n">
        <v>68</v>
      </c>
    </row>
    <row r="194">
      <c r="A194" s="2">
        <f>IF(M194="","",RANK(M194,$M$2:$M$256))</f>
        <v/>
      </c>
      <c r="B194" t="inlineStr">
        <is>
          <t>Lonesome George</t>
        </is>
      </c>
      <c r="C194" t="inlineStr">
        <is>
          <t>Itinerary 8E</t>
        </is>
      </c>
      <c r="D194" s="3" t="inlineStr">
        <is>
          <t>Friday</t>
        </is>
      </c>
      <c r="E194" s="3" t="n">
        <v>8</v>
      </c>
      <c r="F194" t="n">
        <v>16</v>
      </c>
      <c r="G194" t="inlineStr">
        <is>
          <t>Baltra Island Airport, Santa Cruz Island, El Eden Islet, North Seymour Island, South Plaza Island, San Cristóbal Island, Cerro Brujo, San Cristóbal Island, Punta Pitt, Santa Cruz Island, Punta Carrión, Santa Cruz Island, Bachas Beach, Navig</t>
        </is>
      </c>
      <c r="H194" s="3" t="n">
        <v>59.9</v>
      </c>
      <c r="I194" s="3" t="n">
        <v>302.4</v>
      </c>
      <c r="J194" s="2">
        <f>IF(OR(I194="",E194=""),"",ROUND(I194/E194,1))</f>
        <v/>
      </c>
      <c r="K194" s="2">
        <f>IFERROR(IF(H194="","",(H194-MIN($H$2:$H$256))/(MAX($H$2:$H$256)-MIN($H$2:$H$256))),"")</f>
        <v/>
      </c>
      <c r="L194" s="2">
        <f>IFERROR(IF(J194="","",(MAX($J$2:$J$256)-J194)/(MAX($J$2:$J$256)-MIN($J$2:$J$256))),"")</f>
        <v/>
      </c>
      <c r="M194" s="2">
        <f>IF(K194="","",ROUND(100*(Wit_quality*K194+Wit_nav*IF(L194="",0,L194)),1))</f>
        <v/>
      </c>
      <c r="N194" t="n">
        <v>62</v>
      </c>
    </row>
    <row r="195">
      <c r="A195" s="2">
        <f>IF(M195="","",RANK(M195,$M$2:$M$256))</f>
        <v/>
      </c>
      <c r="B195" t="inlineStr">
        <is>
          <t>Elite</t>
        </is>
      </c>
      <c r="C195" t="inlineStr">
        <is>
          <t>A 8Days</t>
        </is>
      </c>
      <c r="D195" s="3" t="inlineStr">
        <is>
          <t>Saturday</t>
        </is>
      </c>
      <c r="E195" s="3" t="n">
        <v>8</v>
      </c>
      <c r="F195" t="n">
        <v>17</v>
      </c>
      <c r="G195" t="inlineStr">
        <is>
          <t>San Cristóbal Island Airport, San Cristóbal Island, El Junco, North Seymour Island, Santa Cruz Island, Cerro Dragon, Isabela Island, Tintorera, Isabela Island, Sierra Negra, Isabela Island, Villamil Tortoise Centre, Isabela Island, Punta Mo</t>
        </is>
      </c>
      <c r="H195" s="3" t="n">
        <v>59.8</v>
      </c>
      <c r="I195" s="3" t="n">
        <v>280.3</v>
      </c>
      <c r="J195" s="2">
        <f>IF(OR(I195="",E195=""),"",ROUND(I195/E195,1))</f>
        <v/>
      </c>
      <c r="K195" s="2">
        <f>IFERROR(IF(H195="","",(H195-MIN($H$2:$H$256))/(MAX($H$2:$H$256)-MIN($H$2:$H$256))),"")</f>
        <v/>
      </c>
      <c r="L195" s="2">
        <f>IFERROR(IF(J195="","",(MAX($J$2:$J$256)-J195)/(MAX($J$2:$J$256)-MIN($J$2:$J$256))),"")</f>
        <v/>
      </c>
      <c r="M195" s="2">
        <f>IF(K195="","",ROUND(100*(Wit_quality*K195+Wit_nav*IF(L195="",0,L195)),1))</f>
        <v/>
      </c>
      <c r="N195" t="n">
        <v>65</v>
      </c>
    </row>
    <row r="196">
      <c r="A196" s="2">
        <f>IF(M196="","",RANK(M196,$M$2:$M$256))</f>
        <v/>
      </c>
      <c r="B196" t="inlineStr">
        <is>
          <t>Endemic</t>
        </is>
      </c>
      <c r="C196" t="inlineStr">
        <is>
          <t>F 6Days</t>
        </is>
      </c>
      <c r="D196" s="3" t="inlineStr">
        <is>
          <t>Tuesday</t>
        </is>
      </c>
      <c r="E196" s="3" t="n">
        <v>6</v>
      </c>
      <c r="F196" t="n">
        <v>12</v>
      </c>
      <c r="G196" t="inlineStr">
        <is>
          <t>Baltra Island Airport, Santiago Island, Sullivan Bay, Isabela Island, Sierra Negra, Isabela Island, Villamil Tortoise Centre, Isabela Island, Elizabeth Bay, Isabela Island, Urbina Bay, Isabela Island, Tagus Cove, Fernandina Island, Punta Es</t>
        </is>
      </c>
      <c r="H196" s="3" t="n">
        <v>59.8</v>
      </c>
      <c r="I196" s="3" t="n">
        <v>163.8</v>
      </c>
      <c r="J196" s="2">
        <f>IF(OR(I196="",E196=""),"",ROUND(I196/E196,1))</f>
        <v/>
      </c>
      <c r="K196" s="2">
        <f>IFERROR(IF(H196="","",(H196-MIN($H$2:$H$256))/(MAX($H$2:$H$256)-MIN($H$2:$H$256))),"")</f>
        <v/>
      </c>
      <c r="L196" s="2">
        <f>IFERROR(IF(J196="","",(MAX($J$2:$J$256)-J196)/(MAX($J$2:$J$256)-MIN($J$2:$J$256))),"")</f>
        <v/>
      </c>
      <c r="M196" s="2">
        <f>IF(K196="","",ROUND(100*(Wit_quality*K196+Wit_nav*IF(L196="",0,L196)),1))</f>
        <v/>
      </c>
      <c r="N196" t="n">
        <v>62</v>
      </c>
    </row>
    <row r="197">
      <c r="A197" s="2">
        <f>IF(M197="","",RANK(M197,$M$2:$M$256))</f>
        <v/>
      </c>
      <c r="B197" t="inlineStr">
        <is>
          <t>King of the Sea</t>
        </is>
      </c>
      <c r="C197" t="inlineStr">
        <is>
          <t>Itinerary A2</t>
        </is>
      </c>
      <c r="D197" s="3" t="inlineStr">
        <is>
          <t>Monday</t>
        </is>
      </c>
      <c r="E197" s="3" t="n">
        <v>5</v>
      </c>
      <c r="F197" t="n">
        <v>10</v>
      </c>
      <c r="G197" t="inlineStr">
        <is>
          <t>Baltra Island Airport, Santa Cruz Island, Punta Carrión, Santa Cruz Island, Darwin Station - Tortoise Centre, Santa Cruz Island, El Chato, Santa Fe Island, South Plaza Island, San Cristóbal Island, Punta Pitt, San Cristóbal Island, Leon Dor</t>
        </is>
      </c>
      <c r="H197" s="3" t="n">
        <v>59.7</v>
      </c>
      <c r="I197" s="3" t="n">
        <v>96.09999999999999</v>
      </c>
      <c r="J197" s="2">
        <f>IF(OR(I197="",E197=""),"",ROUND(I197/E197,1))</f>
        <v/>
      </c>
      <c r="K197" s="2">
        <f>IFERROR(IF(H197="","",(H197-MIN($H$2:$H$256))/(MAX($H$2:$H$256)-MIN($H$2:$H$256))),"")</f>
        <v/>
      </c>
      <c r="L197" s="2">
        <f>IFERROR(IF(J197="","",(MAX($J$2:$J$256)-J197)/(MAX($J$2:$J$256)-MIN($J$2:$J$256))),"")</f>
        <v/>
      </c>
      <c r="M197" s="2">
        <f>IF(K197="","",ROUND(100*(Wit_quality*K197+Wit_nav*IF(L197="",0,L197)),1))</f>
        <v/>
      </c>
      <c r="N197" t="n">
        <v>66</v>
      </c>
    </row>
    <row r="198">
      <c r="A198" s="2">
        <f>IF(M198="","",RANK(M198,$M$2:$M$256))</f>
        <v/>
      </c>
      <c r="B198" t="inlineStr">
        <is>
          <t>Elite</t>
        </is>
      </c>
      <c r="C198" t="inlineStr">
        <is>
          <t>B 8Days</t>
        </is>
      </c>
      <c r="D198" s="3" t="inlineStr">
        <is>
          <t>Saturday</t>
        </is>
      </c>
      <c r="E198" s="3" t="n">
        <v>8</v>
      </c>
      <c r="F198" t="n">
        <v>18</v>
      </c>
      <c r="G198" t="inlineStr">
        <is>
          <t>San Cristóbal Island Airport, San Cristóbal Island, Tortoise breeding centre, Española Island, Punta Suarez, Española Island, Gardner Bay, Floreana Island, Punta Cormorant - Champion Islet, Floreana Island, Post Office Bay, Floreana Island,</t>
        </is>
      </c>
      <c r="H198" s="3" t="n">
        <v>59.5</v>
      </c>
      <c r="I198" s="3" t="n">
        <v>358.6</v>
      </c>
      <c r="J198" s="2">
        <f>IF(OR(I198="",E198=""),"",ROUND(I198/E198,1))</f>
        <v/>
      </c>
      <c r="K198" s="2">
        <f>IFERROR(IF(H198="","",(H198-MIN($H$2:$H$256))/(MAX($H$2:$H$256)-MIN($H$2:$H$256))),"")</f>
        <v/>
      </c>
      <c r="L198" s="2">
        <f>IFERROR(IF(J198="","",(MAX($J$2:$J$256)-J198)/(MAX($J$2:$J$256)-MIN($J$2:$J$256))),"")</f>
        <v/>
      </c>
      <c r="M198" s="2">
        <f>IF(K198="","",ROUND(100*(Wit_quality*K198+Wit_nav*IF(L198="",0,L198)),1))</f>
        <v/>
      </c>
      <c r="N198" t="n">
        <v>63</v>
      </c>
    </row>
    <row r="199">
      <c r="A199" s="2">
        <f>IF(M199="","",RANK(M199,$M$2:$M$256))</f>
        <v/>
      </c>
      <c r="B199" t="inlineStr">
        <is>
          <t>King of the Sea</t>
        </is>
      </c>
      <c r="C199" t="inlineStr">
        <is>
          <t>Itinerary B2</t>
        </is>
      </c>
      <c r="D199" s="3" t="inlineStr">
        <is>
          <t>Thursday</t>
        </is>
      </c>
      <c r="E199" s="3" t="n">
        <v>5</v>
      </c>
      <c r="F199" t="n">
        <v>10</v>
      </c>
      <c r="G199" t="inlineStr">
        <is>
          <t>Baltra Island Airport, Santa Cruz Island, Bachas Beach, Rábida Island, Santiago Island, Puerto Egas, Santiago Island, Sullivan Bay, Bartolomé Island, Sombero Chino Island, Santa Cruz Island, Black Turtle Cove, Mosquera Island, Baltra Island</t>
        </is>
      </c>
      <c r="H199" s="3" t="n">
        <v>59.5</v>
      </c>
      <c r="I199" s="3" t="n">
        <v>98.3</v>
      </c>
      <c r="J199" s="2">
        <f>IF(OR(I199="",E199=""),"",ROUND(I199/E199,1))</f>
        <v/>
      </c>
      <c r="K199" s="2">
        <f>IFERROR(IF(H199="","",(H199-MIN($H$2:$H$256))/(MAX($H$2:$H$256)-MIN($H$2:$H$256))),"")</f>
        <v/>
      </c>
      <c r="L199" s="2">
        <f>IFERROR(IF(J199="","",(MAX($J$2:$J$256)-J199)/(MAX($J$2:$J$256)-MIN($J$2:$J$256))),"")</f>
        <v/>
      </c>
      <c r="M199" s="2">
        <f>IF(K199="","",ROUND(100*(Wit_quality*K199+Wit_nav*IF(L199="",0,L199)),1))</f>
        <v/>
      </c>
      <c r="N199" t="n">
        <v>63</v>
      </c>
    </row>
    <row r="200">
      <c r="A200" s="2">
        <f>IF(M200="","",RANK(M200,$M$2:$M$256))</f>
        <v/>
      </c>
      <c r="B200" t="inlineStr">
        <is>
          <t>Estrella de Mar</t>
        </is>
      </c>
      <c r="C200" t="inlineStr">
        <is>
          <t>Itinerary A</t>
        </is>
      </c>
      <c r="D200" s="3" t="inlineStr">
        <is>
          <t>Monday</t>
        </is>
      </c>
      <c r="E200" s="3" t="n">
        <v>8</v>
      </c>
      <c r="F200" t="n">
        <v>17</v>
      </c>
      <c r="G200" t="inlineStr">
        <is>
          <t>Baltra Island Airport, Santa Cruz Island, El Chato, Sombero Chino Island, Rábida Island, Santiago Island, Espumilla Beach, Santiago Island, Puerto Egas, Fernandina Island, Punta Espinoza, Isabela Island, Urbina Bay, Isabela Island, Elizabet</t>
        </is>
      </c>
      <c r="H200" s="3" t="n">
        <v>59.4</v>
      </c>
      <c r="I200" s="3" t="n">
        <v>227.5</v>
      </c>
      <c r="J200" s="2">
        <f>IF(OR(I200="",E200=""),"",ROUND(I200/E200,1))</f>
        <v/>
      </c>
      <c r="K200" s="2">
        <f>IFERROR(IF(H200="","",(H200-MIN($H$2:$H$256))/(MAX($H$2:$H$256)-MIN($H$2:$H$256))),"")</f>
        <v/>
      </c>
      <c r="L200" s="2">
        <f>IFERROR(IF(J200="","",(MAX($J$2:$J$256)-J200)/(MAX($J$2:$J$256)-MIN($J$2:$J$256))),"")</f>
        <v/>
      </c>
      <c r="M200" s="2">
        <f>IF(K200="","",ROUND(100*(Wit_quality*K200+Wit_nav*IF(L200="",0,L200)),1))</f>
        <v/>
      </c>
      <c r="N200" t="n">
        <v>63</v>
      </c>
    </row>
    <row r="201">
      <c r="A201" s="2">
        <f>IF(M201="","",RANK(M201,$M$2:$M$256))</f>
        <v/>
      </c>
      <c r="B201" t="inlineStr">
        <is>
          <t>Darwin</t>
        </is>
      </c>
      <c r="C201" t="inlineStr">
        <is>
          <t>b4</t>
        </is>
      </c>
      <c r="D201" s="3" t="inlineStr">
        <is>
          <t>Monday</t>
        </is>
      </c>
      <c r="E201" s="3" t="n">
        <v>4</v>
      </c>
      <c r="F201" t="n">
        <v>9</v>
      </c>
      <c r="G201" t="inlineStr">
        <is>
          <t>Baltra Island Airport, Santa Cruz Island, Los Gemelos - Highlands, Santiago Island, Puerto Egas, Santiago Island, Espumilla Beach, Santiago Island, Buccaneer Cove, Bartolomé Island, Santiago Island, Sullivan Bay, North Seymour Island, Baltr</t>
        </is>
      </c>
      <c r="H201" s="3" t="n">
        <v>59.3</v>
      </c>
      <c r="I201" s="3" t="n">
        <v>94.8</v>
      </c>
      <c r="J201" s="2">
        <f>IF(OR(I201="",E201=""),"",ROUND(I201/E201,1))</f>
        <v/>
      </c>
      <c r="K201" s="2">
        <f>IFERROR(IF(H201="","",(H201-MIN($H$2:$H$256))/(MAX($H$2:$H$256)-MIN($H$2:$H$256))),"")</f>
        <v/>
      </c>
      <c r="L201" s="2">
        <f>IFERROR(IF(J201="","",(MAX($J$2:$J$256)-J201)/(MAX($J$2:$J$256)-MIN($J$2:$J$256))),"")</f>
        <v/>
      </c>
      <c r="M201" s="2">
        <f>IF(K201="","",ROUND(100*(Wit_quality*K201+Wit_nav*IF(L201="",0,L201)),1))</f>
        <v/>
      </c>
      <c r="N201" t="n">
        <v>64</v>
      </c>
    </row>
    <row r="202">
      <c r="A202" s="2">
        <f>IF(M202="","",RANK(M202,$M$2:$M$256))</f>
        <v/>
      </c>
      <c r="B202" t="inlineStr">
        <is>
          <t>Grand Majestic</t>
        </is>
      </c>
      <c r="C202" t="inlineStr">
        <is>
          <t>A</t>
        </is>
      </c>
      <c r="D202" s="3" t="inlineStr">
        <is>
          <t>Monday</t>
        </is>
      </c>
      <c r="E202" s="3" t="n">
        <v>8</v>
      </c>
      <c r="F202" t="n">
        <v>16</v>
      </c>
      <c r="G202" t="inlineStr">
        <is>
          <t xml:space="preserve">San Cristóbal Island Airport, San Cristóbal Island, El Junco, Floreana Island, Post Office Bay, Floreana Island, Punta Cormorant - Devil`s Crown, Española Island, Punta Suarez, Española Island, Gardner Bay, Santa Cruz Island, Los Gemelos - </t>
        </is>
      </c>
      <c r="H202" s="3" t="n">
        <v>59.3</v>
      </c>
      <c r="I202" s="3" t="n">
        <v>381.7</v>
      </c>
      <c r="J202" s="2">
        <f>IF(OR(I202="",E202=""),"",ROUND(I202/E202,1))</f>
        <v/>
      </c>
      <c r="K202" s="2">
        <f>IFERROR(IF(H202="","",(H202-MIN($H$2:$H$256))/(MAX($H$2:$H$256)-MIN($H$2:$H$256))),"")</f>
        <v/>
      </c>
      <c r="L202" s="2">
        <f>IFERROR(IF(J202="","",(MAX($J$2:$J$256)-J202)/(MAX($J$2:$J$256)-MIN($J$2:$J$256))),"")</f>
        <v/>
      </c>
      <c r="M202" s="2">
        <f>IF(K202="","",ROUND(100*(Wit_quality*K202+Wit_nav*IF(L202="",0,L202)),1))</f>
        <v/>
      </c>
      <c r="N202" t="n">
        <v>64</v>
      </c>
    </row>
    <row r="203">
      <c r="A203" s="2">
        <f>IF(M203="","",RANK(M203,$M$2:$M$256))</f>
        <v/>
      </c>
      <c r="B203" t="inlineStr">
        <is>
          <t>ARCHIPELL I</t>
        </is>
      </c>
      <c r="C203" t="inlineStr">
        <is>
          <t>Itinerary B5</t>
        </is>
      </c>
      <c r="D203" s="3" t="inlineStr">
        <is>
          <t>Thursday</t>
        </is>
      </c>
      <c r="E203" s="3" t="n">
        <v>5</v>
      </c>
      <c r="F203" t="n">
        <v>10</v>
      </c>
      <c r="G203" t="inlineStr">
        <is>
          <t>Baltra Island Airport, Santa Cruz Island, Los Gemelos - Highlands, Floreana Island, Punta Cormorant - Champion Islet, Floreana Island, Post Office Bay, Española Island, Gardner Bay, Española Island, Punta Suarez, San Cristóbal Island, Punta</t>
        </is>
      </c>
      <c r="H203" s="3" t="n">
        <v>59.1</v>
      </c>
      <c r="I203" s="3" t="n">
        <v>135.9</v>
      </c>
      <c r="J203" s="2">
        <f>IF(OR(I203="",E203=""),"",ROUND(I203/E203,1))</f>
        <v/>
      </c>
      <c r="K203" s="2">
        <f>IFERROR(IF(H203="","",(H203-MIN($H$2:$H$256))/(MAX($H$2:$H$256)-MIN($H$2:$H$256))),"")</f>
        <v/>
      </c>
      <c r="L203" s="2">
        <f>IFERROR(IF(J203="","",(MAX($J$2:$J$256)-J203)/(MAX($J$2:$J$256)-MIN($J$2:$J$256))),"")</f>
        <v/>
      </c>
      <c r="M203" s="2">
        <f>IF(K203="","",ROUND(100*(Wit_quality*K203+Wit_nav*IF(L203="",0,L203)),1))</f>
        <v/>
      </c>
      <c r="N203" t="n">
        <v>64</v>
      </c>
    </row>
    <row r="204">
      <c r="A204" s="2">
        <f>IF(M204="","",RANK(M204,$M$2:$M$256))</f>
        <v/>
      </c>
      <c r="B204" t="inlineStr">
        <is>
          <t>Darwin</t>
        </is>
      </c>
      <c r="C204" t="inlineStr">
        <is>
          <t>A5 Días/4 Noches</t>
        </is>
      </c>
      <c r="D204" s="3" t="inlineStr">
        <is>
          <t>Sunday</t>
        </is>
      </c>
      <c r="E204" s="3" t="n">
        <v>5</v>
      </c>
      <c r="F204" t="n">
        <v>10</v>
      </c>
      <c r="G204" t="inlineStr">
        <is>
          <t>Baltra Island Airport, Santa Cruz Island, Los Gemelos - Highlands, Isabela Island, Tintorera, Isabela Island, Wetlands, Rábida Island, Santa Cruz Island, Cerro Dragon, Sombero Chino Island, Santa Cruz Island, Black Turtle Cove, Daphne Major</t>
        </is>
      </c>
      <c r="H204" s="3" t="n">
        <v>59.1</v>
      </c>
      <c r="I204" s="3" t="n">
        <v>167.7</v>
      </c>
      <c r="J204" s="2">
        <f>IF(OR(I204="",E204=""),"",ROUND(I204/E204,1))</f>
        <v/>
      </c>
      <c r="K204" s="2">
        <f>IFERROR(IF(H204="","",(H204-MIN($H$2:$H$256))/(MAX($H$2:$H$256)-MIN($H$2:$H$256))),"")</f>
        <v/>
      </c>
      <c r="L204" s="2">
        <f>IFERROR(IF(J204="","",(MAX($J$2:$J$256)-J204)/(MAX($J$2:$J$256)-MIN($J$2:$J$256))),"")</f>
        <v/>
      </c>
      <c r="M204" s="2">
        <f>IF(K204="","",ROUND(100*(Wit_quality*K204+Wit_nav*IF(L204="",0,L204)),1))</f>
        <v/>
      </c>
      <c r="N204" t="n">
        <v>62</v>
      </c>
    </row>
    <row r="205">
      <c r="A205" s="2">
        <f>IF(M205="","",RANK(M205,$M$2:$M$256))</f>
        <v/>
      </c>
      <c r="B205" t="inlineStr">
        <is>
          <t>MONSERRAT</t>
        </is>
      </c>
      <c r="C205" t="inlineStr">
        <is>
          <t>Itinerary A5</t>
        </is>
      </c>
      <c r="D205" s="3" t="inlineStr">
        <is>
          <t>Sunday</t>
        </is>
      </c>
      <c r="E205" s="3" t="n">
        <v>5</v>
      </c>
      <c r="F205" t="n">
        <v>12</v>
      </c>
      <c r="G205" t="inlineStr">
        <is>
          <t xml:space="preserve">Baltra Island Airport, Mosquera Island, Isabela Island, Sierra Negra, Isabela Island, Tintorera, Isabela Island, Villamil Tortoise Centre, Sombero Chino Island, Rábida Island, Santiago Island, Puerto Egas, Santiago Island, Espumilla Beach, </t>
        </is>
      </c>
      <c r="H205" s="3" t="n">
        <v>59.1</v>
      </c>
      <c r="I205" s="3" t="n">
        <v>131.2</v>
      </c>
      <c r="J205" s="2">
        <f>IF(OR(I205="",E205=""),"",ROUND(I205/E205,1))</f>
        <v/>
      </c>
      <c r="K205" s="2">
        <f>IFERROR(IF(H205="","",(H205-MIN($H$2:$H$256))/(MAX($H$2:$H$256)-MIN($H$2:$H$256))),"")</f>
        <v/>
      </c>
      <c r="L205" s="2">
        <f>IFERROR(IF(J205="","",(MAX($J$2:$J$256)-J205)/(MAX($J$2:$J$256)-MIN($J$2:$J$256))),"")</f>
        <v/>
      </c>
      <c r="M205" s="2">
        <f>IF(K205="","",ROUND(100*(Wit_quality*K205+Wit_nav*IF(L205="",0,L205)),1))</f>
        <v/>
      </c>
      <c r="N205" t="n">
        <v>63</v>
      </c>
    </row>
    <row r="206">
      <c r="A206" s="2">
        <f>IF(M206="","",RANK(M206,$M$2:$M$256))</f>
        <v/>
      </c>
      <c r="B206" t="inlineStr">
        <is>
          <t>NATURAL PARADISE</t>
        </is>
      </c>
      <c r="C206" t="inlineStr">
        <is>
          <t>Itinerary A4</t>
        </is>
      </c>
      <c r="D206" s="3" t="inlineStr">
        <is>
          <t>Saturday</t>
        </is>
      </c>
      <c r="E206" s="3" t="n">
        <v>4</v>
      </c>
      <c r="F206" t="n">
        <v>8</v>
      </c>
      <c r="G206" t="inlineStr">
        <is>
          <t>Baltra Island Airport, Santa Cruz Island, Darwin Station - Tortoise Centre, Genovesa Island, Prince Phillip's Steps, Genovesa Island, Darwin Bay, Santiago Island, Espumilla Beach, Santiago Island, Puerto Egas, Santa Cruz Island, Bachas Beac</t>
        </is>
      </c>
      <c r="H206" s="3" t="n">
        <v>59</v>
      </c>
      <c r="I206" s="3" t="n">
        <v>175.4</v>
      </c>
      <c r="J206" s="2">
        <f>IF(OR(I206="",E206=""),"",ROUND(I206/E206,1))</f>
        <v/>
      </c>
      <c r="K206" s="2">
        <f>IFERROR(IF(H206="","",(H206-MIN($H$2:$H$256))/(MAX($H$2:$H$256)-MIN($H$2:$H$256))),"")</f>
        <v/>
      </c>
      <c r="L206" s="2">
        <f>IFERROR(IF(J206="","",(MAX($J$2:$J$256)-J206)/(MAX($J$2:$J$256)-MIN($J$2:$J$256))),"")</f>
        <v/>
      </c>
      <c r="M206" s="2">
        <f>IF(K206="","",ROUND(100*(Wit_quality*K206+Wit_nav*IF(L206="",0,L206)),1))</f>
        <v/>
      </c>
      <c r="N206" t="n">
        <v>65</v>
      </c>
    </row>
    <row r="207">
      <c r="A207" s="2">
        <f>IF(M207="","",RANK(M207,$M$2:$M$256))</f>
        <v/>
      </c>
      <c r="B207" t="inlineStr">
        <is>
          <t>Flamingo</t>
        </is>
      </c>
      <c r="C207" t="inlineStr">
        <is>
          <t>Itinerary B1</t>
        </is>
      </c>
      <c r="D207" s="3" t="inlineStr">
        <is>
          <t>Tuesday</t>
        </is>
      </c>
      <c r="E207" s="3" t="n">
        <v>4</v>
      </c>
      <c r="F207" t="n">
        <v>8</v>
      </c>
      <c r="G207" t="inlineStr">
        <is>
          <t>Baltra Island Airport, Santa Cruz Island, Los Gemelos - Highlands, San Cristóbal Island, Cerro Brujo, San Cristóbal Island, Punta Pitt, South Plaza Island, Mosquera Island, Daphne Major circumnavigation, Baltra Island Airport</t>
        </is>
      </c>
      <c r="H207" s="3" t="n">
        <v>58.8</v>
      </c>
      <c r="I207" s="3" t="n">
        <v>140.7</v>
      </c>
      <c r="J207" s="2">
        <f>IF(OR(I207="",E207=""),"",ROUND(I207/E207,1))</f>
        <v/>
      </c>
      <c r="K207" s="2">
        <f>IFERROR(IF(H207="","",(H207-MIN($H$2:$H$256))/(MAX($H$2:$H$256)-MIN($H$2:$H$256))),"")</f>
        <v/>
      </c>
      <c r="L207" s="2">
        <f>IFERROR(IF(J207="","",(MAX($J$2:$J$256)-J207)/(MAX($J$2:$J$256)-MIN($J$2:$J$256))),"")</f>
        <v/>
      </c>
      <c r="M207" s="2">
        <f>IF(K207="","",ROUND(100*(Wit_quality*K207+Wit_nav*IF(L207="",0,L207)),1))</f>
        <v/>
      </c>
      <c r="N207" t="n">
        <v>63</v>
      </c>
    </row>
    <row r="208">
      <c r="A208" s="2">
        <f>IF(M208="","",RANK(M208,$M$2:$M$256))</f>
        <v/>
      </c>
      <c r="B208" t="inlineStr">
        <is>
          <t>NEMO I</t>
        </is>
      </c>
      <c r="C208" t="inlineStr">
        <is>
          <t>Itinerary B5</t>
        </is>
      </c>
      <c r="D208" s="3" t="inlineStr">
        <is>
          <t>Monday</t>
        </is>
      </c>
      <c r="E208" s="3" t="n">
        <v>5</v>
      </c>
      <c r="F208" t="n">
        <v>10</v>
      </c>
      <c r="G208" t="inlineStr">
        <is>
          <t xml:space="preserve">Baltra Island Airport, Santa Cruz Island, Bachas Beach, Isabela Island, Tintorera, Isabela Island, Villamil Tortoise Centre, Floreana Island, Punta Cormorant - Devil`s Crown, Floreana Island, Post Office Bay, Española Island, Punta Suarez, </t>
        </is>
      </c>
      <c r="H208" s="3" t="n">
        <v>58.8</v>
      </c>
      <c r="I208" s="3" t="n">
        <v>244.9</v>
      </c>
      <c r="J208" s="2">
        <f>IF(OR(I208="",E208=""),"",ROUND(I208/E208,1))</f>
        <v/>
      </c>
      <c r="K208" s="2">
        <f>IFERROR(IF(H208="","",(H208-MIN($H$2:$H$256))/(MAX($H$2:$H$256)-MIN($H$2:$H$256))),"")</f>
        <v/>
      </c>
      <c r="L208" s="2">
        <f>IFERROR(IF(J208="","",(MAX($J$2:$J$256)-J208)/(MAX($J$2:$J$256)-MIN($J$2:$J$256))),"")</f>
        <v/>
      </c>
      <c r="M208" s="2">
        <f>IF(K208="","",ROUND(100*(Wit_quality*K208+Wit_nav*IF(L208="",0,L208)),1))</f>
        <v/>
      </c>
      <c r="N208" t="n">
        <v>61</v>
      </c>
    </row>
    <row r="209">
      <c r="A209" s="2">
        <f>IF(M209="","",RANK(M209,$M$2:$M$256))</f>
        <v/>
      </c>
      <c r="B209" t="inlineStr">
        <is>
          <t>Aqua</t>
        </is>
      </c>
      <c r="C209" t="inlineStr">
        <is>
          <t>D 5Days</t>
        </is>
      </c>
      <c r="D209" s="3" t="inlineStr">
        <is>
          <t>Friday</t>
        </is>
      </c>
      <c r="E209" s="3" t="n">
        <v>5</v>
      </c>
      <c r="F209" t="n">
        <v>8</v>
      </c>
      <c r="G209" t="inlineStr">
        <is>
          <t>Baltra Island Airport, Sombero Chino Island, Santiago Island, Puerto Egas, Santiago Island, Sullivan Bay, Rábida Island, Bartolomé Island, Mosquera Island, Baltra Island Airport</t>
        </is>
      </c>
      <c r="H209" s="3" t="n">
        <v>58.6</v>
      </c>
      <c r="I209" s="3" t="n">
        <v>70.3</v>
      </c>
      <c r="J209" s="2">
        <f>IF(OR(I209="",E209=""),"",ROUND(I209/E209,1))</f>
        <v/>
      </c>
      <c r="K209" s="2">
        <f>IFERROR(IF(H209="","",(H209-MIN($H$2:$H$256))/(MAX($H$2:$H$256)-MIN($H$2:$H$256))),"")</f>
        <v/>
      </c>
      <c r="L209" s="2">
        <f>IFERROR(IF(J209="","",(MAX($J$2:$J$256)-J209)/(MAX($J$2:$J$256)-MIN($J$2:$J$256))),"")</f>
        <v/>
      </c>
      <c r="M209" s="2">
        <f>IF(K209="","",ROUND(100*(Wit_quality*K209+Wit_nav*IF(L209="",0,L209)),1))</f>
        <v/>
      </c>
      <c r="N209" t="n">
        <v>64</v>
      </c>
    </row>
    <row r="210">
      <c r="A210" s="2">
        <f>IF(M210="","",RANK(M210,$M$2:$M$256))</f>
        <v/>
      </c>
      <c r="B210" t="inlineStr">
        <is>
          <t>Elite</t>
        </is>
      </c>
      <c r="C210" t="inlineStr">
        <is>
          <t>D 5Days</t>
        </is>
      </c>
      <c r="D210" s="3" t="inlineStr">
        <is>
          <t>Tuesday</t>
        </is>
      </c>
      <c r="E210" s="3" t="n">
        <v>5</v>
      </c>
      <c r="F210" t="n">
        <v>11</v>
      </c>
      <c r="G210" t="inlineStr">
        <is>
          <t>Baltra Island Airport, Santa Cruz Island, Darwin Station - Tortoise Centre, Genovesa Island, Prince Phillip's Steps, Genovesa Island, Darwin Bay, Santiago Island, Espumilla Beach, Santiago Island, Buccaneer Cove, Santiago Island, Puerto Ega</t>
        </is>
      </c>
      <c r="H210" s="3" t="n">
        <v>58.6</v>
      </c>
      <c r="I210" s="3" t="n">
        <v>220.2</v>
      </c>
      <c r="J210" s="2">
        <f>IF(OR(I210="",E210=""),"",ROUND(I210/E210,1))</f>
        <v/>
      </c>
      <c r="K210" s="2">
        <f>IFERROR(IF(H210="","",(H210-MIN($H$2:$H$256))/(MAX($H$2:$H$256)-MIN($H$2:$H$256))),"")</f>
        <v/>
      </c>
      <c r="L210" s="2">
        <f>IFERROR(IF(J210="","",(MAX($J$2:$J$256)-J210)/(MAX($J$2:$J$256)-MIN($J$2:$J$256))),"")</f>
        <v/>
      </c>
      <c r="M210" s="2">
        <f>IF(K210="","",ROUND(100*(Wit_quality*K210+Wit_nav*IF(L210="",0,L210)),1))</f>
        <v/>
      </c>
      <c r="N210" t="n">
        <v>64</v>
      </c>
    </row>
    <row r="211">
      <c r="A211" s="2">
        <f>IF(M211="","",RANK(M211,$M$2:$M$256))</f>
        <v/>
      </c>
      <c r="B211" t="inlineStr">
        <is>
          <t>TIP TOP II</t>
        </is>
      </c>
      <c r="C211" t="inlineStr">
        <is>
          <t>Itinerary 2 5D</t>
        </is>
      </c>
      <c r="D211" s="3" t="inlineStr">
        <is>
          <t>Monday</t>
        </is>
      </c>
      <c r="E211" s="3" t="n">
        <v>5</v>
      </c>
      <c r="F211" t="n">
        <v>10</v>
      </c>
      <c r="G211" t="inlineStr">
        <is>
          <t xml:space="preserve">Baltra Island Airport, Santa Cruz Island, Darwin Station - Tortoise Centre, Floreana Island, Post Office Bay, Floreana Island, Punta Cormorant - Devil`s Crown, Española Island, Punta Suarez, Española Island, Gardner Bay, Santa Cruz Island, </t>
        </is>
      </c>
      <c r="H211" s="3" t="n">
        <v>58.2</v>
      </c>
      <c r="I211" s="3" t="n">
        <v>171.8</v>
      </c>
      <c r="J211" s="2">
        <f>IF(OR(I211="",E211=""),"",ROUND(I211/E211,1))</f>
        <v/>
      </c>
      <c r="K211" s="2">
        <f>IFERROR(IF(H211="","",(H211-MIN($H$2:$H$256))/(MAX($H$2:$H$256)-MIN($H$2:$H$256))),"")</f>
        <v/>
      </c>
      <c r="L211" s="2">
        <f>IFERROR(IF(J211="","",(MAX($J$2:$J$256)-J211)/(MAX($J$2:$J$256)-MIN($J$2:$J$256))),"")</f>
        <v/>
      </c>
      <c r="M211" s="2">
        <f>IF(K211="","",ROUND(100*(Wit_quality*K211+Wit_nav*IF(L211="",0,L211)),1))</f>
        <v/>
      </c>
      <c r="N211" t="n">
        <v>61</v>
      </c>
    </row>
    <row r="212">
      <c r="A212" s="2">
        <f>IF(M212="","",RANK(M212,$M$2:$M$256))</f>
        <v/>
      </c>
      <c r="B212" t="inlineStr">
        <is>
          <t>MONSERRAT</t>
        </is>
      </c>
      <c r="C212" t="inlineStr">
        <is>
          <t>Itinerary B5</t>
        </is>
      </c>
      <c r="D212" s="3" t="inlineStr">
        <is>
          <t>Sunday</t>
        </is>
      </c>
      <c r="E212" s="3" t="n">
        <v>5</v>
      </c>
      <c r="F212" t="n">
        <v>10</v>
      </c>
      <c r="G212" t="inlineStr">
        <is>
          <t>San Cristóbal Island Airport, San Cristóbal Island, Galapaguera, San Cristóbal Island, Cerro Brujo, San Cristóbal Island, Leon Dormido, Española Island, Gardner Bay, Española Island, Punta Suarez, Floreana Island, Punta Cormorant - Champion</t>
        </is>
      </c>
      <c r="H212" s="3" t="n">
        <v>58</v>
      </c>
      <c r="I212" s="3" t="n">
        <v>135.9</v>
      </c>
      <c r="J212" s="2">
        <f>IF(OR(I212="",E212=""),"",ROUND(I212/E212,1))</f>
        <v/>
      </c>
      <c r="K212" s="2">
        <f>IFERROR(IF(H212="","",(H212-MIN($H$2:$H$256))/(MAX($H$2:$H$256)-MIN($H$2:$H$256))),"")</f>
        <v/>
      </c>
      <c r="L212" s="2">
        <f>IFERROR(IF(J212="","",(MAX($J$2:$J$256)-J212)/(MAX($J$2:$J$256)-MIN($J$2:$J$256))),"")</f>
        <v/>
      </c>
      <c r="M212" s="2">
        <f>IF(K212="","",ROUND(100*(Wit_quality*K212+Wit_nav*IF(L212="",0,L212)),1))</f>
        <v/>
      </c>
      <c r="N212" t="n">
        <v>63</v>
      </c>
    </row>
    <row r="213">
      <c r="A213" s="2">
        <f>IF(M213="","",RANK(M213,$M$2:$M$256))</f>
        <v/>
      </c>
      <c r="B213" t="inlineStr">
        <is>
          <t>Daphne</t>
        </is>
      </c>
      <c r="C213" t="inlineStr">
        <is>
          <t>Itinerary B1</t>
        </is>
      </c>
      <c r="D213" s="3" t="inlineStr">
        <is>
          <t>Wednesday</t>
        </is>
      </c>
      <c r="E213" s="3" t="n">
        <v>4</v>
      </c>
      <c r="F213" t="n">
        <v>8</v>
      </c>
      <c r="G213" t="inlineStr">
        <is>
          <t>Baltra Island Airport, Santa Cruz Island, Los Gemelos - Highlands, Floreana Island, Post Office Bay, Floreana Island, Punta Cormorant - Devil`s Crown, Española Island, Punta Suarez, Española Island, Gardner Bay, San Cristóbal Island, Leon D</t>
        </is>
      </c>
      <c r="H213" s="3" t="n">
        <v>57.8</v>
      </c>
      <c r="I213" s="3" t="n">
        <v>135.9</v>
      </c>
      <c r="J213" s="2">
        <f>IF(OR(I213="",E213=""),"",ROUND(I213/E213,1))</f>
        <v/>
      </c>
      <c r="K213" s="2">
        <f>IFERROR(IF(H213="","",(H213-MIN($H$2:$H$256))/(MAX($H$2:$H$256)-MIN($H$2:$H$256))),"")</f>
        <v/>
      </c>
      <c r="L213" s="2">
        <f>IFERROR(IF(J213="","",(MAX($J$2:$J$256)-J213)/(MAX($J$2:$J$256)-MIN($J$2:$J$256))),"")</f>
        <v/>
      </c>
      <c r="M213" s="2">
        <f>IF(K213="","",ROUND(100*(Wit_quality*K213+Wit_nav*IF(L213="",0,L213)),1))</f>
        <v/>
      </c>
      <c r="N213" t="n">
        <v>64</v>
      </c>
    </row>
    <row r="214">
      <c r="A214" s="2">
        <f>IF(M214="","",RANK(M214,$M$2:$M$256))</f>
        <v/>
      </c>
      <c r="B214" t="inlineStr">
        <is>
          <t>Eden</t>
        </is>
      </c>
      <c r="C214" t="inlineStr">
        <is>
          <t>Itinerary 1B</t>
        </is>
      </c>
      <c r="D214" s="3" t="inlineStr">
        <is>
          <t>Thursday</t>
        </is>
      </c>
      <c r="E214" s="3" t="n">
        <v>4</v>
      </c>
      <c r="F214" t="n">
        <v>8</v>
      </c>
      <c r="G214" t="inlineStr">
        <is>
          <t>Baltra Island Airport, Santa Cruz Island, Los Gemelos - Highlands, Floreana Island, Post Office Bay, Floreana Island, Punta Cormorant - Devil`s Crown, Española Island, Punta Suarez, Española Island, Gardner Bay, San Cristóbal Island, Leon D</t>
        </is>
      </c>
      <c r="H214" s="3" t="n">
        <v>57.8</v>
      </c>
      <c r="I214" s="3" t="n">
        <v>135.9</v>
      </c>
      <c r="J214" s="2">
        <f>IF(OR(I214="",E214=""),"",ROUND(I214/E214,1))</f>
        <v/>
      </c>
      <c r="K214" s="2">
        <f>IFERROR(IF(H214="","",(H214-MIN($H$2:$H$256))/(MAX($H$2:$H$256)-MIN($H$2:$H$256))),"")</f>
        <v/>
      </c>
      <c r="L214" s="2">
        <f>IFERROR(IF(J214="","",(MAX($J$2:$J$256)-J214)/(MAX($J$2:$J$256)-MIN($J$2:$J$256))),"")</f>
        <v/>
      </c>
      <c r="M214" s="2">
        <f>IF(K214="","",ROUND(100*(Wit_quality*K214+Wit_nav*IF(L214="",0,L214)),1))</f>
        <v/>
      </c>
      <c r="N214" t="n">
        <v>64</v>
      </c>
    </row>
    <row r="215">
      <c r="A215" s="2">
        <f>IF(M215="","",RANK(M215,$M$2:$M$256))</f>
        <v/>
      </c>
      <c r="B215" t="inlineStr">
        <is>
          <t>Grand Majestic</t>
        </is>
      </c>
      <c r="C215" t="inlineStr">
        <is>
          <t>A 5day</t>
        </is>
      </c>
      <c r="D215" s="3" t="inlineStr">
        <is>
          <t>Thursday</t>
        </is>
      </c>
      <c r="E215" s="3" t="n">
        <v>5</v>
      </c>
      <c r="F215" t="n">
        <v>10</v>
      </c>
      <c r="G215" t="inlineStr">
        <is>
          <t xml:space="preserve">Baltra Island Airport, Santa Cruz Island, Darwin Station - Tortoise Centre, Genovesa Island, Prince Phillip's Steps, Genovesa Island, Darwin Bay, Rábida Island, Sombero Chino Island, San Cristóbal Island, Cerro Brujo, San Cristóbal Island, </t>
        </is>
      </c>
      <c r="H215" s="3" t="n">
        <v>57.5</v>
      </c>
      <c r="I215" s="3" t="n">
        <v>219.9</v>
      </c>
      <c r="J215" s="2">
        <f>IF(OR(I215="",E215=""),"",ROUND(I215/E215,1))</f>
        <v/>
      </c>
      <c r="K215" s="2">
        <f>IFERROR(IF(H215="","",(H215-MIN($H$2:$H$256))/(MAX($H$2:$H$256)-MIN($H$2:$H$256))),"")</f>
        <v/>
      </c>
      <c r="L215" s="2">
        <f>IFERROR(IF(J215="","",(MAX($J$2:$J$256)-J215)/(MAX($J$2:$J$256)-MIN($J$2:$J$256))),"")</f>
        <v/>
      </c>
      <c r="M215" s="2">
        <f>IF(K215="","",ROUND(100*(Wit_quality*K215+Wit_nav*IF(L215="",0,L215)),1))</f>
        <v/>
      </c>
      <c r="N215" t="n">
        <v>66</v>
      </c>
    </row>
    <row r="216">
      <c r="A216" s="2">
        <f>IF(M216="","",RANK(M216,$M$2:$M$256))</f>
        <v/>
      </c>
      <c r="B216" t="inlineStr">
        <is>
          <t>Endemic</t>
        </is>
      </c>
      <c r="C216" t="inlineStr">
        <is>
          <t>D 4Days</t>
        </is>
      </c>
      <c r="D216" s="3" t="inlineStr">
        <is>
          <t>Thursday</t>
        </is>
      </c>
      <c r="E216" s="3" t="n">
        <v>4</v>
      </c>
      <c r="F216" t="n">
        <v>8</v>
      </c>
      <c r="G216" t="inlineStr">
        <is>
          <t>Baltra Island Airport, Bartolomé Island, Floreana Island, Punta Cormorant - Devil`s Crown, Floreana Island, Post Office Bay, Sombero Chino Island, North Seymour Island, Santa Cruz Island, Black Turtle Cove, Baltra Island Airport</t>
        </is>
      </c>
      <c r="H216" s="3" t="n">
        <v>57.4</v>
      </c>
      <c r="I216" s="3" t="n">
        <v>179.2</v>
      </c>
      <c r="J216" s="2">
        <f>IF(OR(I216="",E216=""),"",ROUND(I216/E216,1))</f>
        <v/>
      </c>
      <c r="K216" s="2">
        <f>IFERROR(IF(H216="","",(H216-MIN($H$2:$H$256))/(MAX($H$2:$H$256)-MIN($H$2:$H$256))),"")</f>
        <v/>
      </c>
      <c r="L216" s="2">
        <f>IFERROR(IF(J216="","",(MAX($J$2:$J$256)-J216)/(MAX($J$2:$J$256)-MIN($J$2:$J$256))),"")</f>
        <v/>
      </c>
      <c r="M216" s="2">
        <f>IF(K216="","",ROUND(100*(Wit_quality*K216+Wit_nav*IF(L216="",0,L216)),1))</f>
        <v/>
      </c>
      <c r="N216" t="n">
        <v>62</v>
      </c>
    </row>
    <row r="217">
      <c r="A217" s="2">
        <f>IF(M217="","",RANK(M217,$M$2:$M$256))</f>
        <v/>
      </c>
      <c r="B217" t="inlineStr">
        <is>
          <t>Flamingo</t>
        </is>
      </c>
      <c r="C217" t="inlineStr">
        <is>
          <t>Itinerary A2</t>
        </is>
      </c>
      <c r="D217" s="3" t="inlineStr">
        <is>
          <t>Friday</t>
        </is>
      </c>
      <c r="E217" s="3" t="n">
        <v>5</v>
      </c>
      <c r="F217" t="n">
        <v>10</v>
      </c>
      <c r="G217" t="inlineStr">
        <is>
          <t>San Cristóbal Island Airport, San Cristóbal Island, Leon Dormido, Santa Fe Island, Santa Cruz Island, Punta Carrión, North Seymour Island, Santa Cruz Island, Black Turtle Cove, Santa Cruz Island, Cerro Dragon, Santa Cruz Island, El Eden Isl</t>
        </is>
      </c>
      <c r="H217" s="3" t="n">
        <v>57.4</v>
      </c>
      <c r="I217" s="3" t="n">
        <v>100.3</v>
      </c>
      <c r="J217" s="2">
        <f>IF(OR(I217="",E217=""),"",ROUND(I217/E217,1))</f>
        <v/>
      </c>
      <c r="K217" s="2">
        <f>IFERROR(IF(H217="","",(H217-MIN($H$2:$H$256))/(MAX($H$2:$H$256)-MIN($H$2:$H$256))),"")</f>
        <v/>
      </c>
      <c r="L217" s="2">
        <f>IFERROR(IF(J217="","",(MAX($J$2:$J$256)-J217)/(MAX($J$2:$J$256)-MIN($J$2:$J$256))),"")</f>
        <v/>
      </c>
      <c r="M217" s="2">
        <f>IF(K217="","",ROUND(100*(Wit_quality*K217+Wit_nav*IF(L217="",0,L217)),1))</f>
        <v/>
      </c>
      <c r="N217" t="n">
        <v>63</v>
      </c>
    </row>
    <row r="218">
      <c r="A218" s="2">
        <f>IF(M218="","",RANK(M218,$M$2:$M$256))</f>
        <v/>
      </c>
      <c r="B218" t="inlineStr">
        <is>
          <t>Flamingo</t>
        </is>
      </c>
      <c r="C218" t="inlineStr">
        <is>
          <t>Itinerary B2</t>
        </is>
      </c>
      <c r="D218" s="3" t="inlineStr">
        <is>
          <t>Friday</t>
        </is>
      </c>
      <c r="E218" s="3" t="n">
        <v>5</v>
      </c>
      <c r="F218" t="n">
        <v>10</v>
      </c>
      <c r="G218" t="inlineStr">
        <is>
          <t xml:space="preserve">Baltra Island Airport, Santa Cruz Island, Bachas Beach, Santiago Island, Sullivan Bay, Bartolomé Island, Santiago Island, Espumilla Beach, Santiago Island, Puerto Egas, Rábida Island, Sombero Chino Island, Santa Cruz Island, Darwin Station </t>
        </is>
      </c>
      <c r="H218" s="3" t="n">
        <v>57.3</v>
      </c>
      <c r="I218" s="3" t="n">
        <v>115</v>
      </c>
      <c r="J218" s="2">
        <f>IF(OR(I218="",E218=""),"",ROUND(I218/E218,1))</f>
        <v/>
      </c>
      <c r="K218" s="2">
        <f>IFERROR(IF(H218="","",(H218-MIN($H$2:$H$256))/(MAX($H$2:$H$256)-MIN($H$2:$H$256))),"")</f>
        <v/>
      </c>
      <c r="L218" s="2">
        <f>IFERROR(IF(J218="","",(MAX($J$2:$J$256)-J218)/(MAX($J$2:$J$256)-MIN($J$2:$J$256))),"")</f>
        <v/>
      </c>
      <c r="M218" s="2">
        <f>IF(K218="","",ROUND(100*(Wit_quality*K218+Wit_nav*IF(L218="",0,L218)),1))</f>
        <v/>
      </c>
      <c r="N218" t="n">
        <v>62</v>
      </c>
    </row>
    <row r="219">
      <c r="A219" s="2">
        <f>IF(M219="","",RANK(M219,$M$2:$M$256))</f>
        <v/>
      </c>
      <c r="B219" t="inlineStr">
        <is>
          <t>Golondrina</t>
        </is>
      </c>
      <c r="C219" t="inlineStr">
        <is>
          <t>Itinerary H</t>
        </is>
      </c>
      <c r="D219" s="3" t="inlineStr">
        <is>
          <t>Friday</t>
        </is>
      </c>
      <c r="E219" s="3" t="n">
        <v>5</v>
      </c>
      <c r="F219" t="n">
        <v>11</v>
      </c>
      <c r="G219" t="inlineStr">
        <is>
          <t>Baltra Island Airport, Santa Cruz Island, Tortuga Bay, Santa Cruz Island, Darwin Station - Tortoise Centre, Santa Cruz Island, Los Gemelos - Highlands, Isabela Island, Tintorera, Isabela Island, Villamil Tortoise Centre, Isabela Island, Wet</t>
        </is>
      </c>
      <c r="H219" s="3" t="n">
        <v>57.2</v>
      </c>
      <c r="I219" s="3" t="n">
        <v>121.6</v>
      </c>
      <c r="J219" s="2">
        <f>IF(OR(I219="",E219=""),"",ROUND(I219/E219,1))</f>
        <v/>
      </c>
      <c r="K219" s="2">
        <f>IFERROR(IF(H219="","",(H219-MIN($H$2:$H$256))/(MAX($H$2:$H$256)-MIN($H$2:$H$256))),"")</f>
        <v/>
      </c>
      <c r="L219" s="2">
        <f>IFERROR(IF(J219="","",(MAX($J$2:$J$256)-J219)/(MAX($J$2:$J$256)-MIN($J$2:$J$256))),"")</f>
        <v/>
      </c>
      <c r="M219" s="2">
        <f>IF(K219="","",ROUND(100*(Wit_quality*K219+Wit_nav*IF(L219="",0,L219)),1))</f>
        <v/>
      </c>
      <c r="N219" t="n">
        <v>60</v>
      </c>
    </row>
    <row r="220">
      <c r="A220" s="2">
        <f>IF(M220="","",RANK(M220,$M$2:$M$256))</f>
        <v/>
      </c>
      <c r="B220" t="inlineStr">
        <is>
          <t>ISABELA II</t>
        </is>
      </c>
      <c r="C220" t="inlineStr">
        <is>
          <t>Southern Islands</t>
        </is>
      </c>
      <c r="D220" s="3" t="inlineStr">
        <is>
          <t>Friday</t>
        </is>
      </c>
      <c r="E220" s="3" t="n">
        <v>5</v>
      </c>
      <c r="F220" t="n">
        <v>9</v>
      </c>
      <c r="G220" t="inlineStr">
        <is>
          <t>Baltra Island Airport, Santa Cruz Island, Darwin Station - Tortoise Centre, Floreana Island, Post Office Bay, Floreana Island, Punta Cormorant - Champion Islet, Española Island, Punta Suarez, Española Island, Gardner Bay, San Cristóbal Isla</t>
        </is>
      </c>
      <c r="H220" s="3" t="n">
        <v>57.2</v>
      </c>
      <c r="I220" s="3" t="n">
        <v>135.9</v>
      </c>
      <c r="J220" s="2">
        <f>IF(OR(I220="",E220=""),"",ROUND(I220/E220,1))</f>
        <v/>
      </c>
      <c r="K220" s="2">
        <f>IFERROR(IF(H220="","",(H220-MIN($H$2:$H$256))/(MAX($H$2:$H$256)-MIN($H$2:$H$256))),"")</f>
        <v/>
      </c>
      <c r="L220" s="2">
        <f>IFERROR(IF(J220="","",(MAX($J$2:$J$256)-J220)/(MAX($J$2:$J$256)-MIN($J$2:$J$256))),"")</f>
        <v/>
      </c>
      <c r="M220" s="2">
        <f>IF(K220="","",ROUND(100*(Wit_quality*K220+Wit_nav*IF(L220="",0,L220)),1))</f>
        <v/>
      </c>
      <c r="N220" t="n">
        <v>63</v>
      </c>
    </row>
    <row r="221">
      <c r="A221" s="2">
        <f>IF(M221="","",RANK(M221,$M$2:$M$256))</f>
        <v/>
      </c>
      <c r="B221" t="inlineStr">
        <is>
          <t>AIDA MARIA</t>
        </is>
      </c>
      <c r="C221" t="inlineStr">
        <is>
          <t>Itinerary D</t>
        </is>
      </c>
      <c r="D221" s="3" t="inlineStr">
        <is>
          <t>Thursday</t>
        </is>
      </c>
      <c r="E221" s="3" t="n">
        <v>4</v>
      </c>
      <c r="F221" t="n">
        <v>9</v>
      </c>
      <c r="G221" t="inlineStr">
        <is>
          <t>Baltra Island Airport, Santa Cruz Island, Los Gemelos - Highlands, Floreana Island, Post Office Bay, Floreana Island, Baroness' lookout, Floreana Island, Punta Cormorant - Devil`s Crown, Española Island, Punta Suarez, Española Island, Gardn</t>
        </is>
      </c>
      <c r="H221" s="3" t="n">
        <v>57.1</v>
      </c>
      <c r="I221" s="3" t="n">
        <v>135.9</v>
      </c>
      <c r="J221" s="2">
        <f>IF(OR(I221="",E221=""),"",ROUND(I221/E221,1))</f>
        <v/>
      </c>
      <c r="K221" s="2">
        <f>IFERROR(IF(H221="","",(H221-MIN($H$2:$H$256))/(MAX($H$2:$H$256)-MIN($H$2:$H$256))),"")</f>
        <v/>
      </c>
      <c r="L221" s="2">
        <f>IFERROR(IF(J221="","",(MAX($J$2:$J$256)-J221)/(MAX($J$2:$J$256)-MIN($J$2:$J$256))),"")</f>
        <v/>
      </c>
      <c r="M221" s="2">
        <f>IF(K221="","",ROUND(100*(Wit_quality*K221+Wit_nav*IF(L221="",0,L221)),1))</f>
        <v/>
      </c>
      <c r="N221" t="n">
        <v>63</v>
      </c>
    </row>
    <row r="222">
      <c r="A222" s="2">
        <f>IF(M222="","",RANK(M222,$M$2:$M$256))</f>
        <v/>
      </c>
      <c r="B222" t="inlineStr">
        <is>
          <t>SANTA CRUZ II</t>
        </is>
      </c>
      <c r="C222" t="inlineStr">
        <is>
          <t>Western Islands</t>
        </is>
      </c>
      <c r="D222" s="3" t="inlineStr">
        <is>
          <t>Thursday</t>
        </is>
      </c>
      <c r="E222" s="3" t="n">
        <v>5</v>
      </c>
      <c r="F222" t="n">
        <v>10</v>
      </c>
      <c r="G222" t="inlineStr">
        <is>
          <t>Baltra Island Airport, Santa Cruz Island, Cerro Dragon, Isabela, Punta Vicente Roca, Fernandina Island, Punta Espinoza, Santa Cruz Island, Darwin Station - Tortoise Centre, Santa Cruz Island, Darwin Station - Tortoise Centre, Floreana Islan</t>
        </is>
      </c>
      <c r="H222" s="3" t="n">
        <v>57.1</v>
      </c>
      <c r="I222" s="3" t="n">
        <v>249.1</v>
      </c>
      <c r="J222" s="2">
        <f>IF(OR(I222="",E222=""),"",ROUND(I222/E222,1))</f>
        <v/>
      </c>
      <c r="K222" s="2">
        <f>IFERROR(IF(H222="","",(H222-MIN($H$2:$H$256))/(MAX($H$2:$H$256)-MIN($H$2:$H$256))),"")</f>
        <v/>
      </c>
      <c r="L222" s="2">
        <f>IFERROR(IF(J222="","",(MAX($J$2:$J$256)-J222)/(MAX($J$2:$J$256)-MIN($J$2:$J$256))),"")</f>
        <v/>
      </c>
      <c r="M222" s="2">
        <f>IF(K222="","",ROUND(100*(Wit_quality*K222+Wit_nav*IF(L222="",0,L222)),1))</f>
        <v/>
      </c>
      <c r="N222" t="n">
        <v>60</v>
      </c>
    </row>
    <row r="223">
      <c r="A223" s="2">
        <f>IF(M223="","",RANK(M223,$M$2:$M$256))</f>
        <v/>
      </c>
      <c r="B223" t="inlineStr">
        <is>
          <t>King of the Sea</t>
        </is>
      </c>
      <c r="C223" t="inlineStr">
        <is>
          <t>Itinerary A1</t>
        </is>
      </c>
      <c r="D223" s="3" t="inlineStr">
        <is>
          <t>Friday</t>
        </is>
      </c>
      <c r="E223" s="3" t="n">
        <v>4</v>
      </c>
      <c r="F223" t="n">
        <v>8</v>
      </c>
      <c r="G223" t="inlineStr">
        <is>
          <t>San Cristóbal Island Airport, San Cristóbal Island, Cerro Brujo, Española Island, Gardner Bay, Española Island, Punta Suarez, Floreana Island, Punta Cormorant - Champion Islet, Floreana Island, Post Office Bay, Santa Cruz Island, Los Gemelo</t>
        </is>
      </c>
      <c r="H223" s="3" t="n">
        <v>56.9</v>
      </c>
      <c r="I223" s="3" t="n">
        <v>135.9</v>
      </c>
      <c r="J223" s="2">
        <f>IF(OR(I223="",E223=""),"",ROUND(I223/E223,1))</f>
        <v/>
      </c>
      <c r="K223" s="2">
        <f>IFERROR(IF(H223="","",(H223-MIN($H$2:$H$256))/(MAX($H$2:$H$256)-MIN($H$2:$H$256))),"")</f>
        <v/>
      </c>
      <c r="L223" s="2">
        <f>IFERROR(IF(J223="","",(MAX($J$2:$J$256)-J223)/(MAX($J$2:$J$256)-MIN($J$2:$J$256))),"")</f>
        <v/>
      </c>
      <c r="M223" s="2">
        <f>IF(K223="","",ROUND(100*(Wit_quality*K223+Wit_nav*IF(L223="",0,L223)),1))</f>
        <v/>
      </c>
      <c r="N223" t="n">
        <v>63</v>
      </c>
    </row>
    <row r="224">
      <c r="A224" s="2">
        <f>IF(M224="","",RANK(M224,$M$2:$M$256))</f>
        <v/>
      </c>
      <c r="B224" t="inlineStr">
        <is>
          <t>Coral II</t>
        </is>
      </c>
      <c r="C224" t="inlineStr">
        <is>
          <t>Itinerary D</t>
        </is>
      </c>
      <c r="D224" s="3" t="inlineStr">
        <is>
          <t>Wednesday</t>
        </is>
      </c>
      <c r="E224" s="3" t="n">
        <v>5</v>
      </c>
      <c r="F224" t="n">
        <v>11</v>
      </c>
      <c r="G224" t="inlineStr">
        <is>
          <t>San Cristóbal Island Airport, San Cristóbal Island, Interpretation Centre, San Cristóbal Island, Cerro Tijeretas, San Cristóbal Island, Cerro Brujo, San Cristóbal Island, Punta Pitt, Española Island, Punta Suarez, Española Island, Gardner B</t>
        </is>
      </c>
      <c r="H224" s="3" t="n">
        <v>56.8</v>
      </c>
      <c r="I224" s="3" t="n">
        <v>135.9</v>
      </c>
      <c r="J224" s="2">
        <f>IF(OR(I224="",E224=""),"",ROUND(I224/E224,1))</f>
        <v/>
      </c>
      <c r="K224" s="2">
        <f>IFERROR(IF(H224="","",(H224-MIN($H$2:$H$256))/(MAX($H$2:$H$256)-MIN($H$2:$H$256))),"")</f>
        <v/>
      </c>
      <c r="L224" s="2">
        <f>IFERROR(IF(J224="","",(MAX($J$2:$J$256)-J224)/(MAX($J$2:$J$256)-MIN($J$2:$J$256))),"")</f>
        <v/>
      </c>
      <c r="M224" s="2">
        <f>IF(K224="","",ROUND(100*(Wit_quality*K224+Wit_nav*IF(L224="",0,L224)),1))</f>
        <v/>
      </c>
      <c r="N224" t="n">
        <v>62</v>
      </c>
    </row>
    <row r="225">
      <c r="A225" s="2">
        <f>IF(M225="","",RANK(M225,$M$2:$M$256))</f>
        <v/>
      </c>
      <c r="B225" t="inlineStr">
        <is>
          <t>Darwin</t>
        </is>
      </c>
      <c r="C225" t="inlineStr">
        <is>
          <t>A4 Días/3 Noches</t>
        </is>
      </c>
      <c r="D225" s="3" t="inlineStr">
        <is>
          <t>Thursday</t>
        </is>
      </c>
      <c r="E225" s="3" t="n">
        <v>4</v>
      </c>
      <c r="F225" t="n">
        <v>8</v>
      </c>
      <c r="G225" t="inlineStr">
        <is>
          <t>Baltra Island Airport, Santa Cruz Island, Bachas Beach, San Cristóbal Island, Punta Pitt, San Cristóbal Island, Leon Dormido, San Cristóbal Island, Cerro Brujo, San Cristóbal Island, Lobos Island, Santa Cruz Island, Darwin Station - Tortois</t>
        </is>
      </c>
      <c r="H225" s="3" t="n">
        <v>56.7</v>
      </c>
      <c r="I225" s="3" t="n">
        <v>139.1</v>
      </c>
      <c r="J225" s="2">
        <f>IF(OR(I225="",E225=""),"",ROUND(I225/E225,1))</f>
        <v/>
      </c>
      <c r="K225" s="2">
        <f>IFERROR(IF(H225="","",(H225-MIN($H$2:$H$256))/(MAX($H$2:$H$256)-MIN($H$2:$H$256))),"")</f>
        <v/>
      </c>
      <c r="L225" s="2">
        <f>IFERROR(IF(J225="","",(MAX($J$2:$J$256)-J225)/(MAX($J$2:$J$256)-MIN($J$2:$J$256))),"")</f>
        <v/>
      </c>
      <c r="M225" s="2">
        <f>IF(K225="","",ROUND(100*(Wit_quality*K225+Wit_nav*IF(L225="",0,L225)),1))</f>
        <v/>
      </c>
      <c r="N225" t="n">
        <v>62</v>
      </c>
    </row>
    <row r="226">
      <c r="A226" s="2">
        <f>IF(M226="","",RANK(M226,$M$2:$M$256))</f>
        <v/>
      </c>
      <c r="B226" t="inlineStr">
        <is>
          <t>PASSION</t>
        </is>
      </c>
      <c r="C226" t="inlineStr">
        <is>
          <t>West</t>
        </is>
      </c>
      <c r="D226" s="3" t="inlineStr">
        <is>
          <t>Saturday</t>
        </is>
      </c>
      <c r="E226" s="3" t="n">
        <v>8</v>
      </c>
      <c r="F226" t="n">
        <v>18</v>
      </c>
      <c r="G226" t="inlineStr">
        <is>
          <t>Baltra Island Airport, Santa Cruz Island, Los Gemelos - Highlands, Santa Cruz Island, Darwin Station - Tortoise Centre, Floreana Island, Punta Cormorant - Devil`s Crown, Floreana Island, Post Office Bay, Floreana Island, Black beach, Naviga</t>
        </is>
      </c>
      <c r="H226" s="3" t="n">
        <v>56.5</v>
      </c>
      <c r="I226" s="3" t="n">
        <v>221.3</v>
      </c>
      <c r="J226" s="2">
        <f>IF(OR(I226="",E226=""),"",ROUND(I226/E226,1))</f>
        <v/>
      </c>
      <c r="K226" s="2">
        <f>IFERROR(IF(H226="","",(H226-MIN($H$2:$H$256))/(MAX($H$2:$H$256)-MIN($H$2:$H$256))),"")</f>
        <v/>
      </c>
      <c r="L226" s="2">
        <f>IFERROR(IF(J226="","",(MAX($J$2:$J$256)-J226)/(MAX($J$2:$J$256)-MIN($J$2:$J$256))),"")</f>
        <v/>
      </c>
      <c r="M226" s="2">
        <f>IF(K226="","",ROUND(100*(Wit_quality*K226+Wit_nav*IF(L226="",0,L226)),1))</f>
        <v/>
      </c>
      <c r="N226" t="n">
        <v>57</v>
      </c>
    </row>
    <row r="227">
      <c r="A227" s="2">
        <f>IF(M227="","",RANK(M227,$M$2:$M$256))</f>
        <v/>
      </c>
      <c r="B227" t="inlineStr">
        <is>
          <t>Fragata</t>
        </is>
      </c>
      <c r="C227" t="inlineStr">
        <is>
          <t>Itinerary A</t>
        </is>
      </c>
      <c r="D227" s="3" t="inlineStr">
        <is>
          <t>Tuesday</t>
        </is>
      </c>
      <c r="E227" s="3" t="n">
        <v>4</v>
      </c>
      <c r="F227" t="n">
        <v>9</v>
      </c>
      <c r="G227" t="inlineStr">
        <is>
          <t>Baltra Island Airport, Santa Cruz Island, Los Gemelos - Highlands, Isabela Island, Tintorera, Isabela Island, Villamil Tortoise Centre, Isabela Island, Wetlands, Rábida Island, Santa Cruz Island, Cerro Dragon, Santa Cruz Island, Black Turtl</t>
        </is>
      </c>
      <c r="H227" s="3" t="n">
        <v>56.3</v>
      </c>
      <c r="I227" s="3" t="n">
        <v>121.6</v>
      </c>
      <c r="J227" s="2">
        <f>IF(OR(I227="",E227=""),"",ROUND(I227/E227,1))</f>
        <v/>
      </c>
      <c r="K227" s="2">
        <f>IFERROR(IF(H227="","",(H227-MIN($H$2:$H$256))/(MAX($H$2:$H$256)-MIN($H$2:$H$256))),"")</f>
        <v/>
      </c>
      <c r="L227" s="2">
        <f>IFERROR(IF(J227="","",(MAX($J$2:$J$256)-J227)/(MAX($J$2:$J$256)-MIN($J$2:$J$256))),"")</f>
        <v/>
      </c>
      <c r="M227" s="2">
        <f>IF(K227="","",ROUND(100*(Wit_quality*K227+Wit_nav*IF(L227="",0,L227)),1))</f>
        <v/>
      </c>
      <c r="N227" t="n">
        <v>60</v>
      </c>
    </row>
    <row r="228">
      <c r="A228" s="2">
        <f>IF(M228="","",RANK(M228,$M$2:$M$256))</f>
        <v/>
      </c>
      <c r="B228" t="inlineStr">
        <is>
          <t>Golondrina</t>
        </is>
      </c>
      <c r="C228" t="inlineStr">
        <is>
          <t>Itinerary A</t>
        </is>
      </c>
      <c r="D228" s="3" t="inlineStr">
        <is>
          <t>Tuesday</t>
        </is>
      </c>
      <c r="E228" s="3" t="n">
        <v>4</v>
      </c>
      <c r="F228" t="n">
        <v>9</v>
      </c>
      <c r="G228" t="inlineStr">
        <is>
          <t>Baltra Island Airport, Santa Cruz Island, Los Gemelos - Highlands, Isabela Island, Tintorera, Isabela Island, Villamil Tortoise Centre, Isabela Island, Wetlands, Rábida Island, Santa Cruz Island, Cerro Dragon, Santa Cruz Island, Black Turtl</t>
        </is>
      </c>
      <c r="H228" s="3" t="n">
        <v>56.3</v>
      </c>
      <c r="I228" s="3" t="n">
        <v>121.6</v>
      </c>
      <c r="J228" s="2">
        <f>IF(OR(I228="",E228=""),"",ROUND(I228/E228,1))</f>
        <v/>
      </c>
      <c r="K228" s="2">
        <f>IFERROR(IF(H228="","",(H228-MIN($H$2:$H$256))/(MAX($H$2:$H$256)-MIN($H$2:$H$256))),"")</f>
        <v/>
      </c>
      <c r="L228" s="2">
        <f>IFERROR(IF(J228="","",(MAX($J$2:$J$256)-J228)/(MAX($J$2:$J$256)-MIN($J$2:$J$256))),"")</f>
        <v/>
      </c>
      <c r="M228" s="2">
        <f>IF(K228="","",ROUND(100*(Wit_quality*K228+Wit_nav*IF(L228="",0,L228)),1))</f>
        <v/>
      </c>
      <c r="N228" t="n">
        <v>60</v>
      </c>
    </row>
    <row r="229">
      <c r="A229" s="2">
        <f>IF(M229="","",RANK(M229,$M$2:$M$256))</f>
        <v/>
      </c>
      <c r="B229" t="inlineStr">
        <is>
          <t>Coral I</t>
        </is>
      </c>
      <c r="C229" t="inlineStr">
        <is>
          <t>Itinerary D</t>
        </is>
      </c>
      <c r="D229" s="3" t="inlineStr">
        <is>
          <t>Wednesday</t>
        </is>
      </c>
      <c r="E229" s="3" t="n">
        <v>5</v>
      </c>
      <c r="F229" t="n">
        <v>10</v>
      </c>
      <c r="G229" t="inlineStr">
        <is>
          <t xml:space="preserve">San Cristóbal Island Airport, San Cristóbal Island, Interpretation Centre, San Cristóbal Island, Cerro Brujo, San Cristóbal Island, Punta Pitt, Española Island, Punta Suarez, Española Island, Gardner Bay, Floreana Island, Punta Cormorant - </t>
        </is>
      </c>
      <c r="H229" s="3" t="n">
        <v>56.2</v>
      </c>
      <c r="I229" s="3" t="n">
        <v>135.9</v>
      </c>
      <c r="J229" s="2">
        <f>IF(OR(I229="",E229=""),"",ROUND(I229/E229,1))</f>
        <v/>
      </c>
      <c r="K229" s="2">
        <f>IFERROR(IF(H229="","",(H229-MIN($H$2:$H$256))/(MAX($H$2:$H$256)-MIN($H$2:$H$256))),"")</f>
        <v/>
      </c>
      <c r="L229" s="2">
        <f>IFERROR(IF(J229="","",(MAX($J$2:$J$256)-J229)/(MAX($J$2:$J$256)-MIN($J$2:$J$256))),"")</f>
        <v/>
      </c>
      <c r="M229" s="2">
        <f>IF(K229="","",ROUND(100*(Wit_quality*K229+Wit_nav*IF(L229="",0,L229)),1))</f>
        <v/>
      </c>
      <c r="N229" t="n">
        <v>62</v>
      </c>
    </row>
    <row r="230">
      <c r="A230" s="2">
        <f>IF(M230="","",RANK(M230,$M$2:$M$256))</f>
        <v/>
      </c>
      <c r="B230" t="inlineStr">
        <is>
          <t>MONSERRAT</t>
        </is>
      </c>
      <c r="C230" t="inlineStr">
        <is>
          <t>Itinerary B4</t>
        </is>
      </c>
      <c r="D230" s="3" t="inlineStr">
        <is>
          <t>Thursday</t>
        </is>
      </c>
      <c r="E230" s="3" t="n">
        <v>4</v>
      </c>
      <c r="F230" t="n">
        <v>8</v>
      </c>
      <c r="G230" t="inlineStr">
        <is>
          <t>Baltra Island Airport, Santa Cruz Island, Los Gemelos - Highlands, Santiago Island, Sullivan Bay, Bartolomé Island, Santa Cruz Island, Bachas Beach, Santa Cruz Island, Cerro Dragon, Santa Cruz Island, Black Turtle Cove, Baltra Island Airpor</t>
        </is>
      </c>
      <c r="H230" s="3" t="n">
        <v>56.2</v>
      </c>
      <c r="I230" s="3" t="n">
        <v>90</v>
      </c>
      <c r="J230" s="2">
        <f>IF(OR(I230="",E230=""),"",ROUND(I230/E230,1))</f>
        <v/>
      </c>
      <c r="K230" s="2">
        <f>IFERROR(IF(H230="","",(H230-MIN($H$2:$H$256))/(MAX($H$2:$H$256)-MIN($H$2:$H$256))),"")</f>
        <v/>
      </c>
      <c r="L230" s="2">
        <f>IFERROR(IF(J230="","",(MAX($J$2:$J$256)-J230)/(MAX($J$2:$J$256)-MIN($J$2:$J$256))),"")</f>
        <v/>
      </c>
      <c r="M230" s="2">
        <f>IF(K230="","",ROUND(100*(Wit_quality*K230+Wit_nav*IF(L230="",0,L230)),1))</f>
        <v/>
      </c>
      <c r="N230" t="n">
        <v>60</v>
      </c>
    </row>
    <row r="231">
      <c r="A231" s="2">
        <f>IF(M231="","",RANK(M231,$M$2:$M$256))</f>
        <v/>
      </c>
      <c r="B231" t="inlineStr">
        <is>
          <t>ANGELITO</t>
        </is>
      </c>
      <c r="C231" t="inlineStr">
        <is>
          <t>Itinerary B</t>
        </is>
      </c>
      <c r="D231" s="3" t="inlineStr">
        <is>
          <t>Sunday</t>
        </is>
      </c>
      <c r="E231" s="3" t="n">
        <v>8</v>
      </c>
      <c r="F231" t="n">
        <v>16</v>
      </c>
      <c r="G231" t="inlineStr">
        <is>
          <t>Baltra Island Airport, Santa Cruz Island, Bachas Beach, Mosquera Island, Santa Cruz Island, Cerro Dragon, Isabela Island, Tagus Cove, Fernandina Island, Punta Espinoza, Isabela Island, Urbina Bay, Isabela Island, Elizabeth Bay, Isabela Isla</t>
        </is>
      </c>
      <c r="H231" s="3" t="n">
        <v>56.1</v>
      </c>
      <c r="I231" s="3" t="n">
        <v>259.9</v>
      </c>
      <c r="J231" s="2">
        <f>IF(OR(I231="",E231=""),"",ROUND(I231/E231,1))</f>
        <v/>
      </c>
      <c r="K231" s="2">
        <f>IFERROR(IF(H231="","",(H231-MIN($H$2:$H$256))/(MAX($H$2:$H$256)-MIN($H$2:$H$256))),"")</f>
        <v/>
      </c>
      <c r="L231" s="2">
        <f>IFERROR(IF(J231="","",(MAX($J$2:$J$256)-J231)/(MAX($J$2:$J$256)-MIN($J$2:$J$256))),"")</f>
        <v/>
      </c>
      <c r="M231" s="2">
        <f>IF(K231="","",ROUND(100*(Wit_quality*K231+Wit_nav*IF(L231="",0,L231)),1))</f>
        <v/>
      </c>
      <c r="N231" t="n">
        <v>57</v>
      </c>
    </row>
    <row r="232">
      <c r="A232" s="2">
        <f>IF(M232="","",RANK(M232,$M$2:$M$256))</f>
        <v/>
      </c>
      <c r="B232" t="inlineStr">
        <is>
          <t>King of the Sea</t>
        </is>
      </c>
      <c r="C232" t="inlineStr">
        <is>
          <t>Itinerary B1</t>
        </is>
      </c>
      <c r="D232" s="3" t="inlineStr">
        <is>
          <t>Monday</t>
        </is>
      </c>
      <c r="E232" s="3" t="n">
        <v>4</v>
      </c>
      <c r="F232" t="n">
        <v>8</v>
      </c>
      <c r="G232" t="inlineStr">
        <is>
          <t>Baltra Island Airport, Santa Cruz Island, El Chato, Isabela Island, Sierra Negra, Isabela Island, Wetlands, Santa Cruz Island, El Eden Islet, Santa Cruz Island, Cerro Dragon, North Seymour Island, Baltra Island Airport</t>
        </is>
      </c>
      <c r="H232" s="3" t="n">
        <v>56.1</v>
      </c>
      <c r="I232" s="3" t="n">
        <v>123.4</v>
      </c>
      <c r="J232" s="2">
        <f>IF(OR(I232="",E232=""),"",ROUND(I232/E232,1))</f>
        <v/>
      </c>
      <c r="K232" s="2">
        <f>IFERROR(IF(H232="","",(H232-MIN($H$2:$H$256))/(MAX($H$2:$H$256)-MIN($H$2:$H$256))),"")</f>
        <v/>
      </c>
      <c r="L232" s="2">
        <f>IFERROR(IF(J232="","",(MAX($J$2:$J$256)-J232)/(MAX($J$2:$J$256)-MIN($J$2:$J$256))),"")</f>
        <v/>
      </c>
      <c r="M232" s="2">
        <f>IF(K232="","",ROUND(100*(Wit_quality*K232+Wit_nav*IF(L232="",0,L232)),1))</f>
        <v/>
      </c>
      <c r="N232" t="n">
        <v>60</v>
      </c>
    </row>
    <row r="233">
      <c r="A233" s="2">
        <f>IF(M233="","",RANK(M233,$M$2:$M$256))</f>
        <v/>
      </c>
      <c r="B233" t="inlineStr">
        <is>
          <t>ARCHIPELL II</t>
        </is>
      </c>
      <c r="C233" t="inlineStr">
        <is>
          <t>Itinerary A1</t>
        </is>
      </c>
      <c r="D233" s="3" t="inlineStr">
        <is>
          <t>Monday</t>
        </is>
      </c>
      <c r="E233" s="3" t="n">
        <v>5</v>
      </c>
      <c r="F233" t="n">
        <v>10</v>
      </c>
      <c r="G233" t="inlineStr">
        <is>
          <t>San Cristóbal Island Airport, San Cristóbal Island, Galapaguera, South Plaza Island, Santa Fe Island, Floreana Island, Asilo de Paz, Floreana Island, La Loberia, Santa Cruz Island, Darwin Station - Tortoise Centre, Santa Cruz Island, El Cha</t>
        </is>
      </c>
      <c r="H233" s="3" t="n">
        <v>55.9</v>
      </c>
      <c r="I233" s="3" t="n">
        <v>151.1</v>
      </c>
      <c r="J233" s="2">
        <f>IF(OR(I233="",E233=""),"",ROUND(I233/E233,1))</f>
        <v/>
      </c>
      <c r="K233" s="2">
        <f>IFERROR(IF(H233="","",(H233-MIN($H$2:$H$256))/(MAX($H$2:$H$256)-MIN($H$2:$H$256))),"")</f>
        <v/>
      </c>
      <c r="L233" s="2">
        <f>IFERROR(IF(J233="","",(MAX($J$2:$J$256)-J233)/(MAX($J$2:$J$256)-MIN($J$2:$J$256))),"")</f>
        <v/>
      </c>
      <c r="M233" s="2">
        <f>IF(K233="","",ROUND(100*(Wit_quality*K233+Wit_nav*IF(L233="",0,L233)),1))</f>
        <v/>
      </c>
      <c r="N233" t="n">
        <v>63</v>
      </c>
    </row>
    <row r="234">
      <c r="A234" s="2">
        <f>IF(M234="","",RANK(M234,$M$2:$M$256))</f>
        <v/>
      </c>
      <c r="B234" t="inlineStr">
        <is>
          <t>TREASURE OF GALAPAGOS</t>
        </is>
      </c>
      <c r="C234" t="inlineStr">
        <is>
          <t>A</t>
        </is>
      </c>
      <c r="D234" s="3" t="inlineStr">
        <is>
          <t>Friday</t>
        </is>
      </c>
      <c r="E234" s="3" t="n">
        <v>5</v>
      </c>
      <c r="F234" t="n">
        <v>10</v>
      </c>
      <c r="G234" t="inlineStr">
        <is>
          <t>Baltra Island Airport, Santa Cruz Island, Darwin Station - Tortoise Centre, Santiago Island, Sullivan Bay, Bartolomé Island, North Seymour Island, Mosquera Island, South Plaza Island, San Cristóbal Island, Cerro Brujo, San Cristóbal Island,</t>
        </is>
      </c>
      <c r="H234" s="3" t="n">
        <v>55.9</v>
      </c>
      <c r="I234" s="3" t="n">
        <v>131.9</v>
      </c>
      <c r="J234" s="2">
        <f>IF(OR(I234="",E234=""),"",ROUND(I234/E234,1))</f>
        <v/>
      </c>
      <c r="K234" s="2">
        <f>IFERROR(IF(H234="","",(H234-MIN($H$2:$H$256))/(MAX($H$2:$H$256)-MIN($H$2:$H$256))),"")</f>
        <v/>
      </c>
      <c r="L234" s="2">
        <f>IFERROR(IF(J234="","",(MAX($J$2:$J$256)-J234)/(MAX($J$2:$J$256)-MIN($J$2:$J$256))),"")</f>
        <v/>
      </c>
      <c r="M234" s="2">
        <f>IF(K234="","",ROUND(100*(Wit_quality*K234+Wit_nav*IF(L234="",0,L234)),1))</f>
        <v/>
      </c>
      <c r="N234" t="n">
        <v>63</v>
      </c>
    </row>
    <row r="235">
      <c r="A235" s="2">
        <f>IF(M235="","",RANK(M235,$M$2:$M$256))</f>
        <v/>
      </c>
      <c r="B235" t="inlineStr">
        <is>
          <t>Cormorant</t>
        </is>
      </c>
      <c r="C235" t="inlineStr">
        <is>
          <t>Itinerary A4</t>
        </is>
      </c>
      <c r="D235" s="3" t="inlineStr">
        <is>
          <t>Wednesday</t>
        </is>
      </c>
      <c r="E235" s="3" t="n">
        <v>4</v>
      </c>
      <c r="F235" t="n">
        <v>9</v>
      </c>
      <c r="G235" t="inlineStr">
        <is>
          <t>San Cristóbal Island Airport, San Cristóbal Island, Leon Dormido, Española Island, Punta Suarez, Española Island, Gardner Bay, Floreana Island, Punta Cormorant - Champion Islet, Floreana Island, Post Office Bay, Floreana Island, Baroness' l</t>
        </is>
      </c>
      <c r="H235" s="3" t="n">
        <v>55.8</v>
      </c>
      <c r="I235" s="3" t="n">
        <v>135.9</v>
      </c>
      <c r="J235" s="2">
        <f>IF(OR(I235="",E235=""),"",ROUND(I235/E235,1))</f>
        <v/>
      </c>
      <c r="K235" s="2">
        <f>IFERROR(IF(H235="","",(H235-MIN($H$2:$H$256))/(MAX($H$2:$H$256)-MIN($H$2:$H$256))),"")</f>
        <v/>
      </c>
      <c r="L235" s="2">
        <f>IFERROR(IF(J235="","",(MAX($J$2:$J$256)-J235)/(MAX($J$2:$J$256)-MIN($J$2:$J$256))),"")</f>
        <v/>
      </c>
      <c r="M235" s="2">
        <f>IF(K235="","",ROUND(100*(Wit_quality*K235+Wit_nav*IF(L235="",0,L235)),1))</f>
        <v/>
      </c>
      <c r="N235" t="n">
        <v>62</v>
      </c>
    </row>
    <row r="236">
      <c r="A236" s="2">
        <f>IF(M236="","",RANK(M236,$M$2:$M$256))</f>
        <v/>
      </c>
      <c r="B236" t="inlineStr">
        <is>
          <t>Ecogalaxy</t>
        </is>
      </c>
      <c r="C236" t="inlineStr">
        <is>
          <t>Itinerary C</t>
        </is>
      </c>
      <c r="D236" s="3" t="inlineStr">
        <is>
          <t>Thursday</t>
        </is>
      </c>
      <c r="E236" s="3" t="n">
        <v>6</v>
      </c>
      <c r="F236" t="n">
        <v>12</v>
      </c>
      <c r="G236" t="inlineStr">
        <is>
          <t>Baltra Island Airport, Santa Cruz Island, Bachas Beach, Santiago Island, Sullivan Bay, Bartolomé Island, Santa Cruz Island, Los Gemelos - Highlands, Santa Cruz Island, Darwin Station - Tortoise Centre, Floreana Island, Punta Cormorant - Dev</t>
        </is>
      </c>
      <c r="H236" s="3" t="n">
        <v>55.8</v>
      </c>
      <c r="I236" s="3" t="n">
        <v>201.2</v>
      </c>
      <c r="J236" s="2">
        <f>IF(OR(I236="",E236=""),"",ROUND(I236/E236,1))</f>
        <v/>
      </c>
      <c r="K236" s="2">
        <f>IFERROR(IF(H236="","",(H236-MIN($H$2:$H$256))/(MAX($H$2:$H$256)-MIN($H$2:$H$256))),"")</f>
        <v/>
      </c>
      <c r="L236" s="2">
        <f>IFERROR(IF(J236="","",(MAX($J$2:$J$256)-J236)/(MAX($J$2:$J$256)-MIN($J$2:$J$256))),"")</f>
        <v/>
      </c>
      <c r="M236" s="2">
        <f>IF(K236="","",ROUND(100*(Wit_quality*K236+Wit_nav*IF(L236="",0,L236)),1))</f>
        <v/>
      </c>
      <c r="N236" t="n">
        <v>60</v>
      </c>
    </row>
    <row r="237">
      <c r="A237" s="2">
        <f>IF(M237="","",RANK(M237,$M$2:$M$256))</f>
        <v/>
      </c>
      <c r="B237" t="inlineStr">
        <is>
          <t>Coral I</t>
        </is>
      </c>
      <c r="C237" t="inlineStr">
        <is>
          <t>Itinerary A</t>
        </is>
      </c>
      <c r="D237" s="3" t="inlineStr">
        <is>
          <t>Sunday</t>
        </is>
      </c>
      <c r="E237" s="3" t="n">
        <v>4</v>
      </c>
      <c r="F237" t="n">
        <v>9</v>
      </c>
      <c r="G237" t="inlineStr">
        <is>
          <t>Baltra Island Airport, Santa Cruz Island, Darwin Station - Tortoise Centre, Santa Cruz Island, Cerro Dragon, Bartolomé Island, Rábida Island, Santiago Island, Buccaneer Cove, Santiago Island, Espumilla Beach, Santa Cruz Island, Black Turtle</t>
        </is>
      </c>
      <c r="H237" s="3" t="n">
        <v>55.5</v>
      </c>
      <c r="I237" s="3" t="n">
        <v>100.8</v>
      </c>
      <c r="J237" s="2">
        <f>IF(OR(I237="",E237=""),"",ROUND(I237/E237,1))</f>
        <v/>
      </c>
      <c r="K237" s="2">
        <f>IFERROR(IF(H237="","",(H237-MIN($H$2:$H$256))/(MAX($H$2:$H$256)-MIN($H$2:$H$256))),"")</f>
        <v/>
      </c>
      <c r="L237" s="2">
        <f>IFERROR(IF(J237="","",(MAX($J$2:$J$256)-J237)/(MAX($J$2:$J$256)-MIN($J$2:$J$256))),"")</f>
        <v/>
      </c>
      <c r="M237" s="2">
        <f>IF(K237="","",ROUND(100*(Wit_quality*K237+Wit_nav*IF(L237="",0,L237)),1))</f>
        <v/>
      </c>
      <c r="N237" t="n">
        <v>59</v>
      </c>
    </row>
    <row r="238">
      <c r="A238" s="2">
        <f>IF(M238="","",RANK(M238,$M$2:$M$256))</f>
        <v/>
      </c>
      <c r="B238" t="inlineStr">
        <is>
          <t>Coral II</t>
        </is>
      </c>
      <c r="C238" t="inlineStr">
        <is>
          <t>Itinerary A</t>
        </is>
      </c>
      <c r="D238" s="3" t="inlineStr">
        <is>
          <t>Sunday</t>
        </is>
      </c>
      <c r="E238" s="3" t="n">
        <v>4</v>
      </c>
      <c r="F238" t="n">
        <v>9</v>
      </c>
      <c r="G238" t="inlineStr">
        <is>
          <t>Baltra Island Airport, Santa Cruz Island, Darwin Station - Tortoise Centre, Santa Cruz Island, Cerro Dragon, Bartolomé Island, Rábida Island, Santiago Island, Buccaneer Cove, Santiago Island, Espumilla Beach, Santa Cruz Island, Black Turtle</t>
        </is>
      </c>
      <c r="H238" s="3" t="n">
        <v>55.5</v>
      </c>
      <c r="I238" s="3" t="n">
        <v>100.8</v>
      </c>
      <c r="J238" s="2">
        <f>IF(OR(I238="",E238=""),"",ROUND(I238/E238,1))</f>
        <v/>
      </c>
      <c r="K238" s="2">
        <f>IFERROR(IF(H238="","",(H238-MIN($H$2:$H$256))/(MAX($H$2:$H$256)-MIN($H$2:$H$256))),"")</f>
        <v/>
      </c>
      <c r="L238" s="2">
        <f>IFERROR(IF(J238="","",(MAX($J$2:$J$256)-J238)/(MAX($J$2:$J$256)-MIN($J$2:$J$256))),"")</f>
        <v/>
      </c>
      <c r="M238" s="2">
        <f>IF(K238="","",ROUND(100*(Wit_quality*K238+Wit_nav*IF(L238="",0,L238)),1))</f>
        <v/>
      </c>
      <c r="N238" t="n">
        <v>59</v>
      </c>
    </row>
    <row r="239">
      <c r="A239" s="2">
        <f>IF(M239="","",RANK(M239,$M$2:$M$256))</f>
        <v/>
      </c>
      <c r="B239" t="inlineStr">
        <is>
          <t>MARY ANNE</t>
        </is>
      </c>
      <c r="C239" t="inlineStr">
        <is>
          <t>Western Islands</t>
        </is>
      </c>
      <c r="D239" s="3" t="inlineStr">
        <is>
          <t>Saturday</t>
        </is>
      </c>
      <c r="E239" s="3" t="n">
        <v>8</v>
      </c>
      <c r="F239" t="n">
        <v>19</v>
      </c>
      <c r="G239" t="inlineStr">
        <is>
          <t>Baltra Island Airport, Santa Cruz Island, Los Gemelos - Highlands, Santa Cruz Island, Darwin Station - Tortoise Centre, Floreana Island, Punta Cormorant - Devil`s Crown, Floreana Island, Post Office Bay, Floreana Island, Black beach, Florea</t>
        </is>
      </c>
      <c r="H239" s="3" t="n">
        <v>55.5</v>
      </c>
      <c r="I239" s="3" t="n">
        <v>221.3</v>
      </c>
      <c r="J239" s="2">
        <f>IF(OR(I239="",E239=""),"",ROUND(I239/E239,1))</f>
        <v/>
      </c>
      <c r="K239" s="2">
        <f>IFERROR(IF(H239="","",(H239-MIN($H$2:$H$256))/(MAX($H$2:$H$256)-MIN($H$2:$H$256))),"")</f>
        <v/>
      </c>
      <c r="L239" s="2">
        <f>IFERROR(IF(J239="","",(MAX($J$2:$J$256)-J239)/(MAX($J$2:$J$256)-MIN($J$2:$J$256))),"")</f>
        <v/>
      </c>
      <c r="M239" s="2">
        <f>IF(K239="","",ROUND(100*(Wit_quality*K239+Wit_nav*IF(L239="",0,L239)),1))</f>
        <v/>
      </c>
      <c r="N239" t="n">
        <v>57</v>
      </c>
    </row>
    <row r="240">
      <c r="A240" s="2">
        <f>IF(M240="","",RANK(M240,$M$2:$M$256))</f>
        <v/>
      </c>
      <c r="B240" t="inlineStr">
        <is>
          <t>MONSERRAT</t>
        </is>
      </c>
      <c r="C240" t="inlineStr">
        <is>
          <t>Itinerary A4</t>
        </is>
      </c>
      <c r="D240" s="3" t="inlineStr">
        <is>
          <t>Thursday</t>
        </is>
      </c>
      <c r="E240" s="3" t="n">
        <v>4</v>
      </c>
      <c r="F240" t="n">
        <v>8</v>
      </c>
      <c r="G240" t="inlineStr">
        <is>
          <t xml:space="preserve">Baltra Island Airport, Santa Cruz Island, Los Gemelos - Highlands, South Plaza Island, Santa Fe Island, San Cristóbal Island, Punta Pitt, San Cristóbal Island, Lobos Island, San Cristóbal Island, Interpretation Centre, San Cristóbal Island </t>
        </is>
      </c>
      <c r="H240" s="3" t="n">
        <v>55.3</v>
      </c>
      <c r="I240" s="3" t="n">
        <v>77.59999999999999</v>
      </c>
      <c r="J240" s="2">
        <f>IF(OR(I240="",E240=""),"",ROUND(I240/E240,1))</f>
        <v/>
      </c>
      <c r="K240" s="2">
        <f>IFERROR(IF(H240="","",(H240-MIN($H$2:$H$256))/(MAX($H$2:$H$256)-MIN($H$2:$H$256))),"")</f>
        <v/>
      </c>
      <c r="L240" s="2">
        <f>IFERROR(IF(J240="","",(MAX($J$2:$J$256)-J240)/(MAX($J$2:$J$256)-MIN($J$2:$J$256))),"")</f>
        <v/>
      </c>
      <c r="M240" s="2">
        <f>IF(K240="","",ROUND(100*(Wit_quality*K240+Wit_nav*IF(L240="",0,L240)),1))</f>
        <v/>
      </c>
      <c r="N240" t="n">
        <v>66</v>
      </c>
    </row>
    <row r="241">
      <c r="A241" s="2">
        <f>IF(M241="","",RANK(M241,$M$2:$M$256))</f>
        <v/>
      </c>
      <c r="B241" t="inlineStr">
        <is>
          <t>Galaxy</t>
        </is>
      </c>
      <c r="C241" t="inlineStr">
        <is>
          <t>Itinerary E</t>
        </is>
      </c>
      <c r="D241" s="3" t="inlineStr">
        <is>
          <t>Saturday</t>
        </is>
      </c>
      <c r="E241" s="3" t="n">
        <v>4</v>
      </c>
      <c r="F241" t="n">
        <v>8</v>
      </c>
      <c r="G241" t="inlineStr">
        <is>
          <t>Baltra Island Airport, Mosquera Island, Santiago Island, Sullivan Bay, Bartolomé Island, Genovesa Island, Prince Phillip's Steps, Genovesa Island, Darwin Bay, San Cristóbal Island, Interpretation Centre, San Cristóbal Island Airport</t>
        </is>
      </c>
      <c r="H241" s="3" t="n">
        <v>55.1</v>
      </c>
      <c r="I241" s="3" t="n">
        <v>167</v>
      </c>
      <c r="J241" s="2">
        <f>IF(OR(I241="",E241=""),"",ROUND(I241/E241,1))</f>
        <v/>
      </c>
      <c r="K241" s="2">
        <f>IFERROR(IF(H241="","",(H241-MIN($H$2:$H$256))/(MAX($H$2:$H$256)-MIN($H$2:$H$256))),"")</f>
        <v/>
      </c>
      <c r="L241" s="2">
        <f>IFERROR(IF(J241="","",(MAX($J$2:$J$256)-J241)/(MAX($J$2:$J$256)-MIN($J$2:$J$256))),"")</f>
        <v/>
      </c>
      <c r="M241" s="2">
        <f>IF(K241="","",ROUND(100*(Wit_quality*K241+Wit_nav*IF(L241="",0,L241)),1))</f>
        <v/>
      </c>
      <c r="N241" t="n">
        <v>65</v>
      </c>
    </row>
    <row r="242">
      <c r="A242" s="2">
        <f>IF(M242="","",RANK(M242,$M$2:$M$256))</f>
        <v/>
      </c>
      <c r="B242" t="inlineStr">
        <is>
          <t>Equinox</t>
        </is>
      </c>
      <c r="C242" t="inlineStr">
        <is>
          <t>Itinerary A5</t>
        </is>
      </c>
      <c r="D242" s="3" t="inlineStr">
        <is>
          <t>Friday</t>
        </is>
      </c>
      <c r="E242" s="3" t="n">
        <v>5</v>
      </c>
      <c r="F242" t="n">
        <v>10</v>
      </c>
      <c r="G242" t="inlineStr">
        <is>
          <t>Baltra Island Airport, Santa Cruz Island, El Chato, Santa Cruz Island, Cerro Dragon, Santa Cruz Island, Bachas Beach, Floreana Island, Post Office Bay, Floreana Island, Punta Cormorant - Devil`s Crown, Española Island, Punta Suarez, Español</t>
        </is>
      </c>
      <c r="H242" s="3" t="n">
        <v>54.9</v>
      </c>
      <c r="I242" s="3" t="n">
        <v>135.9</v>
      </c>
      <c r="J242" s="2">
        <f>IF(OR(I242="",E242=""),"",ROUND(I242/E242,1))</f>
        <v/>
      </c>
      <c r="K242" s="2">
        <f>IFERROR(IF(H242="","",(H242-MIN($H$2:$H$256))/(MAX($H$2:$H$256)-MIN($H$2:$H$256))),"")</f>
        <v/>
      </c>
      <c r="L242" s="2">
        <f>IFERROR(IF(J242="","",(MAX($J$2:$J$256)-J242)/(MAX($J$2:$J$256)-MIN($J$2:$J$256))),"")</f>
        <v/>
      </c>
      <c r="M242" s="2">
        <f>IF(K242="","",ROUND(100*(Wit_quality*K242+Wit_nav*IF(L242="",0,L242)),1))</f>
        <v/>
      </c>
      <c r="N242" t="n">
        <v>60</v>
      </c>
    </row>
    <row r="243">
      <c r="A243" s="2">
        <f>IF(M243="","",RANK(M243,$M$2:$M$256))</f>
        <v/>
      </c>
      <c r="B243" t="inlineStr">
        <is>
          <t>Infinity</t>
        </is>
      </c>
      <c r="C243" t="inlineStr">
        <is>
          <t>D 5Days</t>
        </is>
      </c>
      <c r="D243" s="3" t="inlineStr">
        <is>
          <t>Friday</t>
        </is>
      </c>
      <c r="E243" s="3" t="n">
        <v>5</v>
      </c>
      <c r="F243" t="n">
        <v>10</v>
      </c>
      <c r="G243" t="inlineStr">
        <is>
          <t>Baltra Island Airport, Santa Cruz Island, El Chato, Santa Cruz Island, Cerro Dragon, Santa Cruz Island, Bachas Beach, Floreana Island, Post Office Bay, Floreana Island, Punta Cormorant - Champion Islet, Española Island, Punta Suarez, Españo</t>
        </is>
      </c>
      <c r="H243" s="3" t="n">
        <v>54.9</v>
      </c>
      <c r="I243" s="3" t="n">
        <v>135.9</v>
      </c>
      <c r="J243" s="2">
        <f>IF(OR(I243="",E243=""),"",ROUND(I243/E243,1))</f>
        <v/>
      </c>
      <c r="K243" s="2">
        <f>IFERROR(IF(H243="","",(H243-MIN($H$2:$H$256))/(MAX($H$2:$H$256)-MIN($H$2:$H$256))),"")</f>
        <v/>
      </c>
      <c r="L243" s="2">
        <f>IFERROR(IF(J243="","",(MAX($J$2:$J$256)-J243)/(MAX($J$2:$J$256)-MIN($J$2:$J$256))),"")</f>
        <v/>
      </c>
      <c r="M243" s="2">
        <f>IF(K243="","",ROUND(100*(Wit_quality*K243+Wit_nav*IF(L243="",0,L243)),1))</f>
        <v/>
      </c>
      <c r="N243" t="n">
        <v>60</v>
      </c>
    </row>
    <row r="244">
      <c r="A244" s="2">
        <f>IF(M244="","",RANK(M244,$M$2:$M$256))</f>
        <v/>
      </c>
      <c r="B244" t="inlineStr">
        <is>
          <t>NEMO II</t>
        </is>
      </c>
      <c r="C244" t="inlineStr">
        <is>
          <t>South Itinerary B4</t>
        </is>
      </c>
      <c r="D244" s="3" t="inlineStr">
        <is>
          <t>Thursday</t>
        </is>
      </c>
      <c r="E244" s="3" t="n">
        <v>4</v>
      </c>
      <c r="F244" t="n">
        <v>9</v>
      </c>
      <c r="G244" t="inlineStr">
        <is>
          <t>Baltra Island Airport, Santa Cruz Island, Los Gemelos - Highlands, Santa Cruz Island, Darwin Station - Tortoise Centre, Floreana Island, Punta Cormorant - Champion Islet, Floreana Island, Post Office Bay, Sombero Chino Island, Bartolomé Isl</t>
        </is>
      </c>
      <c r="H244" s="3" t="n">
        <v>54.8</v>
      </c>
      <c r="I244" s="3" t="n">
        <v>149.7</v>
      </c>
      <c r="J244" s="2">
        <f>IF(OR(I244="",E244=""),"",ROUND(I244/E244,1))</f>
        <v/>
      </c>
      <c r="K244" s="2">
        <f>IFERROR(IF(H244="","",(H244-MIN($H$2:$H$256))/(MAX($H$2:$H$256)-MIN($H$2:$H$256))),"")</f>
        <v/>
      </c>
      <c r="L244" s="2">
        <f>IFERROR(IF(J244="","",(MAX($J$2:$J$256)-J244)/(MAX($J$2:$J$256)-MIN($J$2:$J$256))),"")</f>
        <v/>
      </c>
      <c r="M244" s="2">
        <f>IF(K244="","",ROUND(100*(Wit_quality*K244+Wit_nav*IF(L244="",0,L244)),1))</f>
        <v/>
      </c>
      <c r="N244" t="n">
        <v>58</v>
      </c>
    </row>
    <row r="245">
      <c r="A245" s="2">
        <f>IF(M245="","",RANK(M245,$M$2:$M$256))</f>
        <v/>
      </c>
      <c r="B245" t="inlineStr">
        <is>
          <t>Elite</t>
        </is>
      </c>
      <c r="C245" t="inlineStr">
        <is>
          <t>C 4Days</t>
        </is>
      </c>
      <c r="D245" s="3" t="inlineStr">
        <is>
          <t>Saturday</t>
        </is>
      </c>
      <c r="E245" s="3" t="n">
        <v>4</v>
      </c>
      <c r="F245" t="n">
        <v>8</v>
      </c>
      <c r="G245" t="inlineStr">
        <is>
          <t>San Cristóbal Island Airport, San Cristóbal Island, Tortoise breeding centre, Española Island, Punta Suarez, Española Island, Gardner Bay, Floreana Island, Punta Cormorant - Champion Islet, Floreana Island, Post Office Bay, Mosquera Island,</t>
        </is>
      </c>
      <c r="H245" s="3" t="n">
        <v>54.5</v>
      </c>
      <c r="I245" s="3" t="n">
        <v>138.5</v>
      </c>
      <c r="J245" s="2">
        <f>IF(OR(I245="",E245=""),"",ROUND(I245/E245,1))</f>
        <v/>
      </c>
      <c r="K245" s="2">
        <f>IFERROR(IF(H245="","",(H245-MIN($H$2:$H$256))/(MAX($H$2:$H$256)-MIN($H$2:$H$256))),"")</f>
        <v/>
      </c>
      <c r="L245" s="2">
        <f>IFERROR(IF(J245="","",(MAX($J$2:$J$256)-J245)/(MAX($J$2:$J$256)-MIN($J$2:$J$256))),"")</f>
        <v/>
      </c>
      <c r="M245" s="2">
        <f>IF(K245="","",ROUND(100*(Wit_quality*K245+Wit_nav*IF(L245="",0,L245)),1))</f>
        <v/>
      </c>
      <c r="N245" t="n">
        <v>62</v>
      </c>
    </row>
    <row r="246">
      <c r="A246" s="2">
        <f>IF(M246="","",RANK(M246,$M$2:$M$256))</f>
        <v/>
      </c>
      <c r="B246" t="inlineStr">
        <is>
          <t>Grand Majestic</t>
        </is>
      </c>
      <c r="C246" t="inlineStr">
        <is>
          <t>A 4day</t>
        </is>
      </c>
      <c r="D246" s="3" t="inlineStr">
        <is>
          <t>Monday</t>
        </is>
      </c>
      <c r="E246" s="3" t="n">
        <v>4</v>
      </c>
      <c r="F246" t="n">
        <v>8</v>
      </c>
      <c r="G246" t="inlineStr">
        <is>
          <t xml:space="preserve">San Cristóbal Island Airport, San Cristóbal Island, El Junco, Floreana Island, Post Office Bay, Floreana Island, Punta Cormorant - Devil`s Crown, Española Island, Punta Suarez, Española Island, Gardner Bay, Santa Cruz Island, Los Gemelos - </t>
        </is>
      </c>
      <c r="H246" s="3" t="n">
        <v>54.4</v>
      </c>
      <c r="I246" s="3" t="n">
        <v>186.5</v>
      </c>
      <c r="J246" s="2">
        <f>IF(OR(I246="",E246=""),"",ROUND(I246/E246,1))</f>
        <v/>
      </c>
      <c r="K246" s="2">
        <f>IFERROR(IF(H246="","",(H246-MIN($H$2:$H$256))/(MAX($H$2:$H$256)-MIN($H$2:$H$256))),"")</f>
        <v/>
      </c>
      <c r="L246" s="2">
        <f>IFERROR(IF(J246="","",(MAX($J$2:$J$256)-J246)/(MAX($J$2:$J$256)-MIN($J$2:$J$256))),"")</f>
        <v/>
      </c>
      <c r="M246" s="2">
        <f>IF(K246="","",ROUND(100*(Wit_quality*K246+Wit_nav*IF(L246="",0,L246)),1))</f>
        <v/>
      </c>
      <c r="N246" t="n">
        <v>62</v>
      </c>
    </row>
    <row r="247">
      <c r="A247" s="2">
        <f>IF(M247="","",RANK(M247,$M$2:$M$256))</f>
        <v/>
      </c>
      <c r="B247" t="inlineStr">
        <is>
          <t>Eden</t>
        </is>
      </c>
      <c r="C247" t="inlineStr">
        <is>
          <t>Itinerary 2A</t>
        </is>
      </c>
      <c r="D247" s="3" t="inlineStr">
        <is>
          <t>Sunday</t>
        </is>
      </c>
      <c r="E247" s="3" t="n">
        <v>3</v>
      </c>
      <c r="F247" t="n">
        <v>6</v>
      </c>
      <c r="G247" t="inlineStr">
        <is>
          <t>San Cristóbal Island Airport, San Cristóbal Island, Lobos Island, Santa Fe Island, South Plaza Island, Santa Cruz Island, Darwin Station - Tortoise Centre, Baltra Island Airport</t>
        </is>
      </c>
      <c r="H247" s="3" t="n">
        <v>54.1</v>
      </c>
      <c r="I247" s="3" t="n">
        <v>77.59999999999999</v>
      </c>
      <c r="J247" s="2">
        <f>IF(OR(I247="",E247=""),"",ROUND(I247/E247,1))</f>
        <v/>
      </c>
      <c r="K247" s="2">
        <f>IFERROR(IF(H247="","",(H247-MIN($H$2:$H$256))/(MAX($H$2:$H$256)-MIN($H$2:$H$256))),"")</f>
        <v/>
      </c>
      <c r="L247" s="2">
        <f>IFERROR(IF(J247="","",(MAX($J$2:$J$256)-J247)/(MAX($J$2:$J$256)-MIN($J$2:$J$256))),"")</f>
        <v/>
      </c>
      <c r="M247" s="2">
        <f>IF(K247="","",ROUND(100*(Wit_quality*K247+Wit_nav*IF(L247="",0,L247)),1))</f>
        <v/>
      </c>
      <c r="N247" t="n">
        <v>69</v>
      </c>
    </row>
    <row r="248">
      <c r="A248" s="2">
        <f>IF(M248="","",RANK(M248,$M$2:$M$256))</f>
        <v/>
      </c>
      <c r="B248" t="inlineStr">
        <is>
          <t>LEGEND</t>
        </is>
      </c>
      <c r="C248" t="inlineStr">
        <is>
          <t>Itinerary D</t>
        </is>
      </c>
      <c r="D248" s="3" t="inlineStr">
        <is>
          <t>Thursday</t>
        </is>
      </c>
      <c r="E248" s="3" t="n">
        <v>5</v>
      </c>
      <c r="F248" t="n">
        <v>12</v>
      </c>
      <c r="G248" t="inlineStr">
        <is>
          <t>San Cristóbal Island Airport, San Cristóbal Island, Interpretation Centre, San Cristóbal Island, Cerro Tijeretas, Española Island, Gardner Bay, Española Island, Punta Suarez, Floreana Island, Post Office Bay, Floreana Island, Punta Cormoran</t>
        </is>
      </c>
      <c r="H248" s="3" t="n">
        <v>54.1</v>
      </c>
      <c r="I248" s="3" t="n">
        <v>135.9</v>
      </c>
      <c r="J248" s="2">
        <f>IF(OR(I248="",E248=""),"",ROUND(I248/E248,1))</f>
        <v/>
      </c>
      <c r="K248" s="2">
        <f>IFERROR(IF(H248="","",(H248-MIN($H$2:$H$256))/(MAX($H$2:$H$256)-MIN($H$2:$H$256))),"")</f>
        <v/>
      </c>
      <c r="L248" s="2">
        <f>IFERROR(IF(J248="","",(MAX($J$2:$J$256)-J248)/(MAX($J$2:$J$256)-MIN($J$2:$J$256))),"")</f>
        <v/>
      </c>
      <c r="M248" s="2">
        <f>IF(K248="","",ROUND(100*(Wit_quality*K248+Wit_nav*IF(L248="",0,L248)),1))</f>
        <v/>
      </c>
      <c r="N248" t="n">
        <v>58</v>
      </c>
    </row>
    <row r="249">
      <c r="A249" s="2">
        <f>IF(M249="","",RANK(M249,$M$2:$M$256))</f>
        <v/>
      </c>
      <c r="B249" t="inlineStr">
        <is>
          <t>SEA MAN JOURNEY</t>
        </is>
      </c>
      <c r="C249" t="inlineStr">
        <is>
          <t>Itinerary B</t>
        </is>
      </c>
      <c r="D249" s="3" t="inlineStr">
        <is>
          <t>Monday</t>
        </is>
      </c>
      <c r="E249" s="3" t="n">
        <v>5</v>
      </c>
      <c r="F249" t="n">
        <v>10</v>
      </c>
      <c r="G249" t="inlineStr">
        <is>
          <t>San Cristóbal Island Airport, San Cristóbal Island, Interpretation Centre, San Cristóbal Island, Galapaguera, San Cristóbal Island, Cerro Brujo, Española Island, Gardner Bay, Española Island, Punta Suarez, Floreana Island, Punta Cormorant -</t>
        </is>
      </c>
      <c r="H249" s="3" t="n">
        <v>54.1</v>
      </c>
      <c r="I249" s="3" t="n">
        <v>135.9</v>
      </c>
      <c r="J249" s="2">
        <f>IF(OR(I249="",E249=""),"",ROUND(I249/E249,1))</f>
        <v/>
      </c>
      <c r="K249" s="2">
        <f>IFERROR(IF(H249="","",(H249-MIN($H$2:$H$256))/(MAX($H$2:$H$256)-MIN($H$2:$H$256))),"")</f>
        <v/>
      </c>
      <c r="L249" s="2">
        <f>IFERROR(IF(J249="","",(MAX($J$2:$J$256)-J249)/(MAX($J$2:$J$256)-MIN($J$2:$J$256))),"")</f>
        <v/>
      </c>
      <c r="M249" s="2">
        <f>IF(K249="","",ROUND(100*(Wit_quality*K249+Wit_nav*IF(L249="",0,L249)),1))</f>
        <v/>
      </c>
      <c r="N249" t="n">
        <v>61</v>
      </c>
    </row>
    <row r="250">
      <c r="A250" s="2">
        <f>IF(M250="","",RANK(M250,$M$2:$M$256))</f>
        <v/>
      </c>
      <c r="B250" t="inlineStr">
        <is>
          <t>YOLITA II</t>
        </is>
      </c>
      <c r="C250" t="inlineStr">
        <is>
          <t>Itinerary B4</t>
        </is>
      </c>
      <c r="D250" s="3" t="inlineStr">
        <is>
          <t>Thursday</t>
        </is>
      </c>
      <c r="E250" s="3" t="n">
        <v>4</v>
      </c>
      <c r="F250" t="n">
        <v>8</v>
      </c>
      <c r="G250" t="inlineStr">
        <is>
          <t>Baltra Island Airport, Santa Cruz Island, El Chato, Floreana Island, Punta Cormorant - Devil`s Crown, Floreana Island, Post Office Bay, Sombero Chino Island, Santa Cruz Island, Cerro Dragon, Santa Cruz Island, Black Turtle Cove, Baltra Isla</t>
        </is>
      </c>
      <c r="H250" s="3" t="n">
        <v>53.9</v>
      </c>
      <c r="I250" s="3" t="n">
        <v>141.2</v>
      </c>
      <c r="J250" s="2">
        <f>IF(OR(I250="",E250=""),"",ROUND(I250/E250,1))</f>
        <v/>
      </c>
      <c r="K250" s="2">
        <f>IFERROR(IF(H250="","",(H250-MIN($H$2:$H$256))/(MAX($H$2:$H$256)-MIN($H$2:$H$256))),"")</f>
        <v/>
      </c>
      <c r="L250" s="2">
        <f>IFERROR(IF(J250="","",(MAX($J$2:$J$256)-J250)/(MAX($J$2:$J$256)-MIN($J$2:$J$256))),"")</f>
        <v/>
      </c>
      <c r="M250" s="2">
        <f>IF(K250="","",ROUND(100*(Wit_quality*K250+Wit_nav*IF(L250="",0,L250)),1))</f>
        <v/>
      </c>
      <c r="N250" t="n">
        <v>57</v>
      </c>
    </row>
    <row r="251">
      <c r="A251" s="2">
        <f>IF(M251="","",RANK(M251,$M$2:$M$256))</f>
        <v/>
      </c>
      <c r="B251" t="inlineStr">
        <is>
          <t>Flamingo</t>
        </is>
      </c>
      <c r="C251" t="inlineStr">
        <is>
          <t>Itinerary A1</t>
        </is>
      </c>
      <c r="D251" s="3" t="inlineStr">
        <is>
          <t>Tuesday</t>
        </is>
      </c>
      <c r="E251" s="3" t="n">
        <v>4</v>
      </c>
      <c r="F251" t="n">
        <v>8</v>
      </c>
      <c r="G251" t="inlineStr">
        <is>
          <t>Baltra Island Airport, Santa Cruz Island, Los Gemelos - Highlands, Floreana Island, Punta Cormorant - Devil`s Crown, Floreana Island, Post Office Bay, Española Island, Punta Suarez, Española Island, Gardner Bay, San Cristóbal Island, Interp</t>
        </is>
      </c>
      <c r="H251" s="3" t="n">
        <v>52.9</v>
      </c>
      <c r="I251" s="3" t="n">
        <v>135.9</v>
      </c>
      <c r="J251" s="2">
        <f>IF(OR(I251="",E251=""),"",ROUND(I251/E251,1))</f>
        <v/>
      </c>
      <c r="K251" s="2">
        <f>IFERROR(IF(H251="","",(H251-MIN($H$2:$H$256))/(MAX($H$2:$H$256)-MIN($H$2:$H$256))),"")</f>
        <v/>
      </c>
      <c r="L251" s="2">
        <f>IFERROR(IF(J251="","",(MAX($J$2:$J$256)-J251)/(MAX($J$2:$J$256)-MIN($J$2:$J$256))),"")</f>
        <v/>
      </c>
      <c r="M251" s="2">
        <f>IF(K251="","",ROUND(100*(Wit_quality*K251+Wit_nav*IF(L251="",0,L251)),1))</f>
        <v/>
      </c>
      <c r="N251" t="n">
        <v>61</v>
      </c>
    </row>
    <row r="252">
      <c r="A252" s="2">
        <f>IF(M252="","",RANK(M252,$M$2:$M$256))</f>
        <v/>
      </c>
      <c r="B252" t="inlineStr">
        <is>
          <t>ARCHIPELL I</t>
        </is>
      </c>
      <c r="C252" t="inlineStr">
        <is>
          <t>Itinerary A4</t>
        </is>
      </c>
      <c r="D252" s="3" t="inlineStr">
        <is>
          <t>Monday</t>
        </is>
      </c>
      <c r="E252" s="3" t="n">
        <v>4</v>
      </c>
      <c r="F252" t="n">
        <v>9</v>
      </c>
      <c r="G252" t="inlineStr">
        <is>
          <t xml:space="preserve">San Cristóbal Island Airport, San Cristóbal Island, Cerro Colorado, San Cristóbal Island, Interpretation Centre, South Plaza Island, Santa Fe Island, Floreana Island, Champion islet, Floreana Island, Asilo de Paz, Santa Cruz Island, Darwin </t>
        </is>
      </c>
      <c r="H252" s="3" t="n">
        <v>52.7</v>
      </c>
      <c r="I252" s="3" t="n">
        <v>151.1</v>
      </c>
      <c r="J252" s="2">
        <f>IF(OR(I252="",E252=""),"",ROUND(I252/E252,1))</f>
        <v/>
      </c>
      <c r="K252" s="2">
        <f>IFERROR(IF(H252="","",(H252-MIN($H$2:$H$256))/(MAX($H$2:$H$256)-MIN($H$2:$H$256))),"")</f>
        <v/>
      </c>
      <c r="L252" s="2">
        <f>IFERROR(IF(J252="","",(MAX($J$2:$J$256)-J252)/(MAX($J$2:$J$256)-MIN($J$2:$J$256))),"")</f>
        <v/>
      </c>
      <c r="M252" s="2">
        <f>IF(K252="","",ROUND(100*(Wit_quality*K252+Wit_nav*IF(L252="",0,L252)),1))</f>
        <v/>
      </c>
      <c r="N252" t="n">
        <v>64</v>
      </c>
    </row>
    <row r="253">
      <c r="A253" s="2">
        <f>IF(M253="","",RANK(M253,$M$2:$M$256))</f>
        <v/>
      </c>
      <c r="B253" t="inlineStr">
        <is>
          <t>ANAHI</t>
        </is>
      </c>
      <c r="C253" t="inlineStr">
        <is>
          <t>Itinerary A1</t>
        </is>
      </c>
      <c r="D253" s="3" t="inlineStr">
        <is>
          <t>Tuesday</t>
        </is>
      </c>
      <c r="E253" s="3" t="n">
        <v>4</v>
      </c>
      <c r="F253" t="n">
        <v>9</v>
      </c>
      <c r="G253" t="inlineStr">
        <is>
          <t>San Cristóbal Island Airport, San Cristóbal Island, Interpretation Centre, San Cristóbal Island, Cerro Tijeretas, Española Island, Punta Suarez, Española Island, Gardner Bay, Floreana Island, Punta Cormorant - Devil`s Crown, Floreana Island</t>
        </is>
      </c>
      <c r="H253" s="3" t="n">
        <v>52.6</v>
      </c>
      <c r="I253" s="3" t="n">
        <v>135.9</v>
      </c>
      <c r="J253" s="2">
        <f>IF(OR(I253="",E253=""),"",ROUND(I253/E253,1))</f>
        <v/>
      </c>
      <c r="K253" s="2">
        <f>IFERROR(IF(H253="","",(H253-MIN($H$2:$H$256))/(MAX($H$2:$H$256)-MIN($H$2:$H$256))),"")</f>
        <v/>
      </c>
      <c r="L253" s="2">
        <f>IFERROR(IF(J253="","",(MAX($J$2:$J$256)-J253)/(MAX($J$2:$J$256)-MIN($J$2:$J$256))),"")</f>
        <v/>
      </c>
      <c r="M253" s="2">
        <f>IF(K253="","",ROUND(100*(Wit_quality*K253+Wit_nav*IF(L253="",0,L253)),1))</f>
        <v/>
      </c>
      <c r="N253" t="n">
        <v>60</v>
      </c>
    </row>
    <row r="254">
      <c r="A254" s="2">
        <f>IF(M254="","",RANK(M254,$M$2:$M$256))</f>
        <v/>
      </c>
      <c r="B254" t="inlineStr">
        <is>
          <t>OCEAN SPRAY</t>
        </is>
      </c>
      <c r="C254" t="inlineStr">
        <is>
          <t>Itinerary B4</t>
        </is>
      </c>
      <c r="D254" s="3" t="inlineStr">
        <is>
          <t>Saturday</t>
        </is>
      </c>
      <c r="E254" s="3" t="n">
        <v>4</v>
      </c>
      <c r="F254" t="n">
        <v>8</v>
      </c>
      <c r="G254" t="inlineStr">
        <is>
          <t>San Cristóbal Island Airport, San Cristóbal Island, Leon Dormido, San Cristóbal Island, Punta Pitt, San Cristóbal Island, Cerro Brujo, Floreana Island, Post Office Bay, Floreana Island, Punta Cormorant - Devil`s Crown, Santa Cruz Island, Bl</t>
        </is>
      </c>
      <c r="H254" s="3" t="n">
        <v>52.6</v>
      </c>
      <c r="I254" s="3" t="n">
        <v>120.1</v>
      </c>
      <c r="J254" s="2">
        <f>IF(OR(I254="",E254=""),"",ROUND(I254/E254,1))</f>
        <v/>
      </c>
      <c r="K254" s="2">
        <f>IFERROR(IF(H254="","",(H254-MIN($H$2:$H$256))/(MAX($H$2:$H$256)-MIN($H$2:$H$256))),"")</f>
        <v/>
      </c>
      <c r="L254" s="2">
        <f>IFERROR(IF(J254="","",(MAX($J$2:$J$256)-J254)/(MAX($J$2:$J$256)-MIN($J$2:$J$256))),"")</f>
        <v/>
      </c>
      <c r="M254" s="2">
        <f>IF(K254="","",ROUND(100*(Wit_quality*K254+Wit_nav*IF(L254="",0,L254)),1))</f>
        <v/>
      </c>
      <c r="N254" t="n">
        <v>59</v>
      </c>
    </row>
    <row r="255">
      <c r="A255" s="2">
        <f>IF(M255="","",RANK(M255,$M$2:$M$256))</f>
        <v/>
      </c>
      <c r="B255" t="inlineStr">
        <is>
          <t>PETREL</t>
        </is>
      </c>
      <c r="C255" t="inlineStr">
        <is>
          <t>Itinerary B4</t>
        </is>
      </c>
      <c r="D255" s="3" t="inlineStr">
        <is>
          <t>Friday</t>
        </is>
      </c>
      <c r="E255" s="3" t="n">
        <v>4</v>
      </c>
      <c r="F255" t="n">
        <v>9</v>
      </c>
      <c r="G255" t="inlineStr">
        <is>
          <t>San Cristóbal Island Airport, San Cristóbal Island, Interpretation Centre, San Cristóbal Island, Galapaguera, Española Island, Gardner Bay, Española Island, Punta Suarez, Floreana Island, Punta Cormorant - Devil`s Crown, Floreana Island, Po</t>
        </is>
      </c>
      <c r="H255" s="3" t="n">
        <v>52.5</v>
      </c>
      <c r="I255" s="3" t="n">
        <v>135.9</v>
      </c>
      <c r="J255" s="2">
        <f>IF(OR(I255="",E255=""),"",ROUND(I255/E255,1))</f>
        <v/>
      </c>
      <c r="K255" s="2">
        <f>IFERROR(IF(H255="","",(H255-MIN($H$2:$H$256))/(MAX($H$2:$H$256)-MIN($H$2:$H$256))),"")</f>
        <v/>
      </c>
      <c r="L255" s="2">
        <f>IFERROR(IF(J255="","",(MAX($J$2:$J$256)-J255)/(MAX($J$2:$J$256)-MIN($J$2:$J$256))),"")</f>
        <v/>
      </c>
      <c r="M255" s="2">
        <f>IF(K255="","",ROUND(100*(Wit_quality*K255+Wit_nav*IF(L255="",0,L255)),1))</f>
        <v/>
      </c>
      <c r="N255" t="n">
        <v>60</v>
      </c>
    </row>
    <row r="256">
      <c r="A256" s="2">
        <f>IF(M256="","",RANK(M256,$M$2:$M$256))</f>
        <v/>
      </c>
      <c r="B256" t="inlineStr">
        <is>
          <t>Ecogalaxy</t>
        </is>
      </c>
      <c r="C256" t="inlineStr">
        <is>
          <t>Itinerary E</t>
        </is>
      </c>
      <c r="D256" s="3" t="inlineStr">
        <is>
          <t>Saturday</t>
        </is>
      </c>
      <c r="E256" s="3" t="n">
        <v>4</v>
      </c>
      <c r="F256" t="n">
        <v>8</v>
      </c>
      <c r="G256" t="inlineStr">
        <is>
          <t>Baltra Island Airport, Santa Cruz Island, Darwin Station - Tortoise Centre, Floreana Island, Punta Cormorant - Devil`s Crown, Floreana Island, Post Office Bay, Española Island, Punta Suarez, Española Island, Gardner Bay, San Cristóbal Islan</t>
        </is>
      </c>
      <c r="H256" s="3" t="n">
        <v>51.4</v>
      </c>
      <c r="I256" s="3" t="n">
        <v>135.9</v>
      </c>
      <c r="J256" s="2">
        <f>IF(OR(I256="",E256=""),"",ROUND(I256/E256,1))</f>
        <v/>
      </c>
      <c r="K256" s="2">
        <f>IFERROR(IF(H256="","",(H256-MIN($H$2:$H$256))/(MAX($H$2:$H$256)-MIN($H$2:$H$256))),"")</f>
        <v/>
      </c>
      <c r="L256" s="2">
        <f>IFERROR(IF(J256="","",(MAX($J$2:$J$256)-J256)/(MAX($J$2:$J$256)-MIN($J$2:$J$256))),"")</f>
        <v/>
      </c>
      <c r="M256" s="2">
        <f>IF(K256="","",ROUND(100*(Wit_quality*K256+Wit_nav*IF(L256="",0,L256)),1))</f>
        <v/>
      </c>
      <c r="N256" t="n">
        <v>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78" customWidth="1" min="3" max="3"/>
  </cols>
  <sheetData>
    <row r="1">
      <c r="A1" s="1" t="inlineStr">
        <is>
          <t>Constant</t>
        </is>
      </c>
      <c r="B1" s="1" t="inlineStr">
        <is>
          <t>Value</t>
        </is>
      </c>
      <c r="C1" s="1" t="inlineStr">
        <is>
          <t>Description</t>
        </is>
      </c>
    </row>
    <row r="2">
      <c r="A2" t="inlineStr">
        <is>
          <t>Wq_site</t>
        </is>
      </c>
      <c r="B2" s="3" t="n">
        <v>0.3</v>
      </c>
      <c r="C2" s="4" t="inlineStr">
        <is>
          <t>Site-quality weight: overall site score</t>
        </is>
      </c>
    </row>
    <row r="3">
      <c r="A3" t="inlineStr">
        <is>
          <t>Wq_bio</t>
        </is>
      </c>
      <c r="B3" s="3" t="n">
        <v>0.15</v>
      </c>
      <c r="C3" s="4" t="inlineStr">
        <is>
          <t>Site-quality weight: biodiversity</t>
        </is>
      </c>
    </row>
    <row r="4">
      <c r="A4" t="inlineStr">
        <is>
          <t>Wq_iconic</t>
        </is>
      </c>
      <c r="B4" s="3" t="n">
        <v>0.15</v>
      </c>
      <c r="C4" s="4" t="inlineStr">
        <is>
          <t>Site-quality weight: iconic species</t>
        </is>
      </c>
    </row>
    <row r="5">
      <c r="A5" t="inlineStr">
        <is>
          <t>Wq_scenic</t>
        </is>
      </c>
      <c r="B5" s="3" t="n">
        <v>0.2</v>
      </c>
      <c r="C5" s="4" t="inlineStr">
        <is>
          <t>Site-quality weight: scenic / striking vistas</t>
        </is>
      </c>
    </row>
    <row r="6">
      <c r="A6" t="inlineStr">
        <is>
          <t>Wq_snorkel</t>
        </is>
      </c>
      <c r="B6" s="3" t="n">
        <v>0.1</v>
      </c>
      <c r="C6" s="4" t="inlineStr">
        <is>
          <t>Site-quality weight: snorkel</t>
        </is>
      </c>
    </row>
    <row r="7">
      <c r="A7" t="inlineStr">
        <is>
          <t>Wq_beach</t>
        </is>
      </c>
      <c r="B7" s="3" t="n">
        <v>0.1</v>
      </c>
      <c r="C7" s="4" t="inlineStr">
        <is>
          <t>Site-quality weight: beach</t>
        </is>
      </c>
    </row>
    <row r="8">
      <c r="A8" t="inlineStr">
        <is>
          <t>WildBonus</t>
        </is>
      </c>
      <c r="B8" s="3" t="n">
        <v>1.5</v>
      </c>
      <c r="C8" s="4" t="inlineStr">
        <is>
          <t>Quality bonus per wildlife species</t>
        </is>
      </c>
    </row>
    <row r="9">
      <c r="A9" t="inlineStr">
        <is>
          <t>WildCap</t>
        </is>
      </c>
      <c r="B9" s="3" t="n">
        <v>10</v>
      </c>
      <c r="C9" s="4" t="inlineStr">
        <is>
          <t>Max wildlife bonus</t>
        </is>
      </c>
    </row>
    <row r="10">
      <c r="A10" t="inlineStr">
        <is>
          <t>Wit_quality</t>
        </is>
      </c>
      <c r="B10" s="3" t="n">
        <v>0.6</v>
      </c>
      <c r="C10" s="4" t="inlineStr">
        <is>
          <t>Itinerary rating weight: visited-site quality</t>
        </is>
      </c>
    </row>
    <row r="11">
      <c r="A11" t="inlineStr">
        <is>
          <t>Wit_nav</t>
        </is>
      </c>
      <c r="B11" s="3" t="n">
        <v>0.4</v>
      </c>
      <c r="C11" s="4" t="inlineStr">
        <is>
          <t>Itinerary rating weight: navigation efficiency (short legs)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115" customWidth="1" min="2" max="2"/>
  </cols>
  <sheetData>
    <row r="1">
      <c r="A1" s="5" t="inlineStr">
        <is>
          <t>ITINERARY RATING — model</t>
        </is>
      </c>
      <c r="B1" t="inlineStr"/>
    </row>
    <row r="2">
      <c r="A2" t="inlineStr">
        <is>
          <t>Site quality (per site)</t>
        </is>
      </c>
      <c r="B2" s="4" t="inlineStr">
        <is>
          <t>Shown live on the Visitor Sites sheet, column Quality: weighted blend of site/biodiversity/iconic/scenic/snorkel/beach scores + capped wildlife bonus.</t>
        </is>
      </c>
    </row>
    <row r="3">
      <c r="A3" t="inlineStr">
        <is>
          <t>Itinerary site quality</t>
        </is>
      </c>
      <c r="B3" s="4" t="inlineStr">
        <is>
          <t>Column 'Avg Site Quality' = the AVERAGE of the Visitor Sites Quality across the visitor sites the itinerary actually visits (listed in 'Visited Sites'). Source: scraped day-by-day stops.</t>
        </is>
      </c>
    </row>
    <row r="4">
      <c r="A4" t="inlineStr">
        <is>
          <t>Navigation efficiency</t>
        </is>
      </c>
      <c r="B4" s="4" t="inlineStr">
        <is>
          <t>From 'Distance nm' = sum of great-circle distances between the islands of consecutive stops (PDF coordinates). 'Dist/Day' = distance ÷ days; shorter = more efficient (NavEff 01 is its inverse-normalised value).</t>
        </is>
      </c>
    </row>
    <row r="5">
      <c r="A5" t="inlineStr">
        <is>
          <t>Itinerary Rating</t>
        </is>
      </c>
      <c r="B5" s="4" t="inlineStr">
        <is>
          <t>100 × (Wit_quality·SiteQual01 + Wit_nav·NavEff01). Weights on the Constants sheet — closer, higher-quality routes rank top.</t>
        </is>
      </c>
    </row>
    <row r="6">
      <c r="A6" t="inlineStr">
        <is>
          <t>Note</t>
        </is>
      </c>
      <c r="B6" s="4" t="inlineStr">
        <is>
          <t>Avg Site Quality and Distance are computed from the scraped sequence; edit visitor-site scores on the Visitor Sites sheet (live) and re-run build to refresh itinerary aggregates.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c r="A1" s="1" t="inlineStr">
        <is>
          <t>Topic</t>
        </is>
      </c>
      <c r="B1" s="1" t="inlineStr">
        <is>
          <t>Note</t>
        </is>
      </c>
    </row>
    <row r="2">
      <c r="A2" t="inlineStr">
        <is>
          <t>Living rating workbook</t>
        </is>
      </c>
      <c r="B2" s="4" t="inlineStr"/>
    </row>
    <row r="3">
      <c r="A3" t="inlineStr">
        <is>
          <t>Yellow cells</t>
        </is>
      </c>
      <c r="B3" s="4" t="inlineStr">
        <is>
          <t>Editable inputs (vessel specs). Correct or fill these by hand — values left blank were rejected as corrupt or were not displayed by the source.</t>
        </is>
      </c>
    </row>
    <row r="4">
      <c r="A4" t="inlineStr">
        <is>
          <t>Green cells</t>
        </is>
      </c>
      <c r="B4" s="4" t="inlineStr">
        <is>
          <t>Formulas — do not edit. They recompute automatically when you change a yellow input.</t>
        </is>
      </c>
    </row>
    <row r="5">
      <c r="A5" t="inlineStr">
        <is>
          <t>Constants sheet</t>
        </is>
      </c>
      <c r="B5" s="4" t="inlineStr">
        <is>
          <t>Model constants (physics coefficients, penalties) are named ranges — tune them and every sheet updates.</t>
        </is>
      </c>
    </row>
    <row r="6">
      <c r="A6" t="inlineStr">
        <is>
          <t>Downgrade</t>
        </is>
      </c>
      <c r="B6" s="4" t="inlineStr">
        <is>
          <t>A listing is automatically downgraded when key inputs (especially engine power) are blank — the data penalty multiplies its score.</t>
        </is>
      </c>
    </row>
    <row r="7">
      <c r="A7" t="inlineStr">
        <is>
          <t>Normalisation</t>
        </is>
      </c>
      <c r="B7" s="4" t="inlineStr">
        <is>
          <t>Scores use whole-column MAX/MIN, so editing one vessel re-scales the whole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2026-06-21T07:39:17Z</dcterms:created>
  <dcterms:modified xsi:type="dcterms:W3CDTF">2026-06-21T07:39:17Z</dcterms:modified>
</cp:coreProperties>
</file>
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 Rating" sheetId="1" state="visible" r:id="rId1"/>
    <sheet name="Constants" sheetId="2" state="visible" r:id="rId2"/>
    <sheet name="How to use" sheetId="3" state="visible" r:id="rId3"/>
  </sheets>
  <definedNames>
    <definedName name="Cb">Constants!$B$2</definedName>
    <definedName name="Rho_sw">Constants!$B$3</definedName>
    <definedName name="GT_disp">Constants!$B$4</definedName>
    <definedName name="C_adm">Constants!$B$5</definedName>
    <definedName name="BSFC">Constants!$B$6</definedName>
    <definedName name="Rho_fuel">Constants!$B$7</definedName>
    <definedName name="Load">Constants!$B$8</definedName>
    <definedName name="HP_kW">Constants!$B$9</definedName>
    <definedName name="DraftK">Constants!$B$10</definedName>
    <definedName name="DraftMin">Constants!$B$11</definedName>
    <definedName name="RepRoutePerDay">Constants!$B$12</definedName>
    <definedName name="PenEngine">Constants!$B$13</definedName>
    <definedName name="PenMissing">Constants!$B$14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6F54"/>
      </patternFill>
    </fill>
    <fill>
      <patternFill patternType="solid">
        <fgColor rgb="00FFF8E1"/>
      </patternFill>
    </fill>
    <fill>
      <patternFill patternType="solid">
        <fgColor rgb="00EAF2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12" customWidth="1" min="3" max="3"/>
    <col width="7" customWidth="1" min="4" max="4"/>
    <col width="11" customWidth="1" min="5" max="5"/>
    <col width="8" customWidth="1" min="6" max="6"/>
    <col width="8" customWidth="1" min="7" max="7"/>
    <col width="7" customWidth="1" min="8" max="8"/>
    <col width="7" customWidth="1" min="9" max="9"/>
    <col width="12" customWidth="1" min="10" max="10"/>
    <col width="11" customWidth="1" min="11" max="11"/>
    <col width="9" customWidth="1" min="12" max="12"/>
    <col width="8" customWidth="1" min="13" max="13"/>
    <col width="9" customWidth="1" min="14" max="14"/>
    <col width="8" customWidth="1" min="15" max="15"/>
    <col width="8" customWidth="1" min="16" max="16"/>
    <col width="12" customWidth="1" min="17" max="17"/>
    <col width="12" customWidth="1" min="18" max="18"/>
    <col width="12" customWidth="1" min="19" max="19"/>
    <col width="11" customWidth="1" min="20" max="20"/>
    <col width="9" customWidth="1" min="21" max="21"/>
    <col width="9" customWidth="1" min="22" max="22"/>
    <col width="26" customWidth="1" min="23" max="23"/>
  </cols>
  <sheetData>
    <row r="1">
      <c r="A1" s="1" t="inlineStr">
        <is>
          <t>Rank</t>
        </is>
      </c>
      <c r="B1" s="1" t="inlineStr">
        <is>
          <t>Vessel</t>
        </is>
      </c>
      <c r="C1" s="1" t="inlineStr">
        <is>
          <t>Type</t>
        </is>
      </c>
      <c r="D1" s="1" t="inlineStr">
        <is>
          <t>Guests</t>
        </is>
      </c>
      <c r="E1" s="1" t="inlineStr">
        <is>
          <t>Installed HP</t>
        </is>
      </c>
      <c r="F1" s="1" t="inlineStr">
        <is>
          <t>Speed kn</t>
        </is>
      </c>
      <c r="G1" s="1" t="inlineStr">
        <is>
          <t>Length m</t>
        </is>
      </c>
      <c r="H1" s="1" t="inlineStr">
        <is>
          <t>Beam m</t>
        </is>
      </c>
      <c r="I1" s="1" t="inlineStr">
        <is>
          <t>Draft m</t>
        </is>
      </c>
      <c r="J1" s="1" t="inlineStr">
        <is>
          <t>Gross tonnage</t>
        </is>
      </c>
      <c r="K1" s="1" t="inlineStr">
        <is>
          <t>Route nm/day</t>
        </is>
      </c>
      <c r="L1" s="1" t="inlineStr">
        <is>
          <t>Draft used</t>
        </is>
      </c>
      <c r="M1" s="1" t="inlineStr">
        <is>
          <t>Displ. t</t>
        </is>
      </c>
      <c r="N1" s="1" t="inlineStr">
        <is>
          <t>Cruise kW</t>
        </is>
      </c>
      <c r="O1" s="1" t="inlineStr">
        <is>
          <t>Fuel L/h</t>
        </is>
      </c>
      <c r="P1" s="1" t="inlineStr">
        <is>
          <t>Fuel L/nm</t>
        </is>
      </c>
      <c r="Q1" s="1" t="inlineStr">
        <is>
          <t>Fuel L/pax·nm</t>
        </is>
      </c>
      <c r="R1" s="1" t="inlineStr">
        <is>
          <t>Route/day used</t>
        </is>
      </c>
      <c r="S1" s="1" t="inlineStr">
        <is>
          <t>Fuel L/pax/day</t>
        </is>
      </c>
      <c r="T1" s="1" t="inlineStr">
        <is>
          <t>Data penalty</t>
        </is>
      </c>
      <c r="U1" s="1" t="inlineStr">
        <is>
          <t>ECO base</t>
        </is>
      </c>
      <c r="V1" s="1" t="inlineStr">
        <is>
          <t>ECO Score</t>
        </is>
      </c>
      <c r="W1" s="1" t="inlineStr">
        <is>
          <t>Flags</t>
        </is>
      </c>
    </row>
    <row r="2">
      <c r="A2" s="2">
        <f>IF(V2="","",RANK(V2,$V$2:$V$127))</f>
        <v/>
      </c>
      <c r="B2" t="inlineStr">
        <is>
          <t>Darwin</t>
        </is>
      </c>
      <c r="C2" t="inlineStr">
        <is>
          <t>Yacht</t>
        </is>
      </c>
      <c r="D2" s="3" t="n">
        <v>16</v>
      </c>
      <c r="E2" s="3" t="n"/>
      <c r="F2" s="3" t="n">
        <v>9</v>
      </c>
      <c r="G2" s="3" t="n">
        <v>18.3</v>
      </c>
      <c r="H2" s="3" t="n">
        <v>5</v>
      </c>
      <c r="I2" s="3" t="n"/>
      <c r="J2" s="3" t="n"/>
      <c r="K2" s="3" t="n">
        <v>31.8</v>
      </c>
      <c r="L2" s="2">
        <f>IF(I2&lt;&gt;"",I2,IF(G2&lt;&gt;"",MAX(DraftMin,DraftK*G2),""))</f>
        <v/>
      </c>
      <c r="M2" s="2">
        <f>IF(J2&lt;&gt;"",J2*GT_disp,IF(AND(G2&lt;&gt;"",H2&lt;&gt;"",L2&lt;&gt;""),G2*H2*L2*Cb*Rho_sw,""))</f>
        <v/>
      </c>
      <c r="N2" s="2">
        <f>IF(F2="","",IF(AND(M2&lt;&gt;"",E2&lt;&gt;""),MIN(M2^(2/3)*F2^3/C_adm,E2*HP_kW*Load),IF(M2&lt;&gt;"",M2^(2/3)*F2^3/C_adm,IF(E2&lt;&gt;"",E2*HP_kW*Load,""))))</f>
        <v/>
      </c>
      <c r="O2" s="2">
        <f>IF(N2="","",N2*BSFC/Rho_fuel)</f>
        <v/>
      </c>
      <c r="P2" s="2">
        <f>IF(OR(O2="",F2=""),"",O2/F2)</f>
        <v/>
      </c>
      <c r="Q2" s="2">
        <f>IF(OR(P2="",D2=""),"",P2/D2)</f>
        <v/>
      </c>
      <c r="R2" s="2">
        <f>IF(K2&lt;&gt;"",K2,RepRoutePerDay)</f>
        <v/>
      </c>
      <c r="S2" s="2">
        <f>IF(Q2="","",ROUND(Q2*R2,1))</f>
        <v/>
      </c>
      <c r="T2" s="2">
        <f>IF(E2="",PenEngine,1)*IF(G2="",PenMissing,1)*IF(F2="",PenMissing,1)*IF(D2="",PenMissing,1)</f>
        <v/>
      </c>
      <c r="U2" s="2">
        <f>IFERROR(IF(S2="","",100*(MAX($S$2:$S$127)-S2)/(MAX($S$2:$S$127)-MIN($S$2:$S$127))),"")</f>
        <v/>
      </c>
      <c r="V2" s="2">
        <f>IF(U2="","",ROUND(U2*T2,1))</f>
        <v/>
      </c>
      <c r="W2" t="inlineStr">
        <is>
          <t>missing_price_per_day</t>
        </is>
      </c>
    </row>
    <row r="3">
      <c r="A3" s="2">
        <f>IF(V3="","",RANK(V3,$V$2:$V$127))</f>
        <v/>
      </c>
      <c r="B3" t="inlineStr">
        <is>
          <t>Encantada</t>
        </is>
      </c>
      <c r="C3" t="inlineStr">
        <is>
          <t>Small Yacht</t>
        </is>
      </c>
      <c r="D3" s="3" t="n">
        <v>12</v>
      </c>
      <c r="E3" s="3" t="n"/>
      <c r="F3" s="3" t="n">
        <v>7</v>
      </c>
      <c r="G3" s="3" t="n">
        <v>21</v>
      </c>
      <c r="H3" s="3" t="n">
        <v>5</v>
      </c>
      <c r="I3" s="3" t="n"/>
      <c r="J3" s="3" t="n"/>
      <c r="K3" s="3" t="n"/>
      <c r="L3" s="2">
        <f>IF(I3&lt;&gt;"",I3,IF(G3&lt;&gt;"",MAX(DraftMin,DraftK*G3),""))</f>
        <v/>
      </c>
      <c r="M3" s="2">
        <f>IF(J3&lt;&gt;"",J3*GT_disp,IF(AND(G3&lt;&gt;"",H3&lt;&gt;"",L3&lt;&gt;""),G3*H3*L3*Cb*Rho_sw,""))</f>
        <v/>
      </c>
      <c r="N3" s="2">
        <f>IF(F3="","",IF(AND(M3&lt;&gt;"",E3&lt;&gt;""),MIN(M3^(2/3)*F3^3/C_adm,E3*HP_kW*Load),IF(M3&lt;&gt;"",M3^(2/3)*F3^3/C_adm,IF(E3&lt;&gt;"",E3*HP_kW*Load,""))))</f>
        <v/>
      </c>
      <c r="O3" s="2">
        <f>IF(N3="","",N3*BSFC/Rho_fuel)</f>
        <v/>
      </c>
      <c r="P3" s="2">
        <f>IF(OR(O3="",F3=""),"",O3/F3)</f>
        <v/>
      </c>
      <c r="Q3" s="2">
        <f>IF(OR(P3="",D3=""),"",P3/D3)</f>
        <v/>
      </c>
      <c r="R3" s="2">
        <f>IF(K3&lt;&gt;"",K3,RepRoutePerDay)</f>
        <v/>
      </c>
      <c r="S3" s="2">
        <f>IF(Q3="","",ROUND(Q3*R3,1))</f>
        <v/>
      </c>
      <c r="T3" s="2">
        <f>IF(E3="",PenEngine,1)*IF(G3="",PenMissing,1)*IF(F3="",PenMissing,1)*IF(D3="",PenMissing,1)</f>
        <v/>
      </c>
      <c r="U3" s="2">
        <f>IFERROR(IF(S3="","",100*(MAX($S$2:$S$127)-S3)/(MAX($S$2:$S$127)-MIN($S$2:$S$127))),"")</f>
        <v/>
      </c>
      <c r="V3" s="2">
        <f>IF(U3="","",ROUND(U3*T3,1))</f>
        <v/>
      </c>
      <c r="W3" t="inlineStr">
        <is>
          <t>no_engine_data, missing_crew_count, missing_price_per_day</t>
        </is>
      </c>
    </row>
    <row r="4">
      <c r="A4" s="2">
        <f>IF(V4="","",RANK(V4,$V$2:$V$127))</f>
        <v/>
      </c>
      <c r="B4" t="inlineStr">
        <is>
          <t>Golondrina</t>
        </is>
      </c>
      <c r="C4" t="inlineStr">
        <is>
          <t>Small Yacht</t>
        </is>
      </c>
      <c r="D4" s="3" t="n">
        <v>16</v>
      </c>
      <c r="E4" s="3" t="n"/>
      <c r="F4" s="3" t="n">
        <v>8</v>
      </c>
      <c r="G4" s="3" t="n">
        <v>22</v>
      </c>
      <c r="H4" s="3" t="n">
        <v>5</v>
      </c>
      <c r="I4" s="3" t="n"/>
      <c r="J4" s="3" t="n"/>
      <c r="K4" s="3" t="n">
        <v>33.6</v>
      </c>
      <c r="L4" s="2">
        <f>IF(I4&lt;&gt;"",I4,IF(G4&lt;&gt;"",MAX(DraftMin,DraftK*G4),""))</f>
        <v/>
      </c>
      <c r="M4" s="2">
        <f>IF(J4&lt;&gt;"",J4*GT_disp,IF(AND(G4&lt;&gt;"",H4&lt;&gt;"",L4&lt;&gt;""),G4*H4*L4*Cb*Rho_sw,""))</f>
        <v/>
      </c>
      <c r="N4" s="2">
        <f>IF(F4="","",IF(AND(M4&lt;&gt;"",E4&lt;&gt;""),MIN(M4^(2/3)*F4^3/C_adm,E4*HP_kW*Load),IF(M4&lt;&gt;"",M4^(2/3)*F4^3/C_adm,IF(E4&lt;&gt;"",E4*HP_kW*Load,""))))</f>
        <v/>
      </c>
      <c r="O4" s="2">
        <f>IF(N4="","",N4*BSFC/Rho_fuel)</f>
        <v/>
      </c>
      <c r="P4" s="2">
        <f>IF(OR(O4="",F4=""),"",O4/F4)</f>
        <v/>
      </c>
      <c r="Q4" s="2">
        <f>IF(OR(P4="",D4=""),"",P4/D4)</f>
        <v/>
      </c>
      <c r="R4" s="2">
        <f>IF(K4&lt;&gt;"",K4,RepRoutePerDay)</f>
        <v/>
      </c>
      <c r="S4" s="2">
        <f>IF(Q4="","",ROUND(Q4*R4,1))</f>
        <v/>
      </c>
      <c r="T4" s="2">
        <f>IF(E4="",PenEngine,1)*IF(G4="",PenMissing,1)*IF(F4="",PenMissing,1)*IF(D4="",PenMissing,1)</f>
        <v/>
      </c>
      <c r="U4" s="2">
        <f>IFERROR(IF(S4="","",100*(MAX($S$2:$S$127)-S4)/(MAX($S$2:$S$127)-MIN($S$2:$S$127))),"")</f>
        <v/>
      </c>
      <c r="V4" s="2">
        <f>IF(U4="","",ROUND(U4*T4,1))</f>
        <v/>
      </c>
      <c r="W4" t="inlineStr">
        <is>
          <t>no_engine_data, missing_crew_count, missing_price_per_day</t>
        </is>
      </c>
    </row>
    <row r="5">
      <c r="A5" s="2">
        <f>IF(V5="","",RANK(V5,$V$2:$V$127))</f>
        <v/>
      </c>
      <c r="B5" t="inlineStr">
        <is>
          <t>Lonesome George</t>
        </is>
      </c>
      <c r="C5" t="inlineStr">
        <is>
          <t>Motor Catamaran</t>
        </is>
      </c>
      <c r="D5" s="3" t="n">
        <v>16</v>
      </c>
      <c r="E5" s="3" t="n"/>
      <c r="F5" s="3" t="n">
        <v>9</v>
      </c>
      <c r="G5" s="3" t="n">
        <v>17</v>
      </c>
      <c r="H5" s="3" t="n">
        <v>5</v>
      </c>
      <c r="I5" s="3" t="n"/>
      <c r="J5" s="3" t="n"/>
      <c r="K5" s="3" t="n">
        <v>37.8</v>
      </c>
      <c r="L5" s="2">
        <f>IF(I5&lt;&gt;"",I5,IF(G5&lt;&gt;"",MAX(DraftMin,DraftK*G5),""))</f>
        <v/>
      </c>
      <c r="M5" s="2">
        <f>IF(J5&lt;&gt;"",J5*GT_disp,IF(AND(G5&lt;&gt;"",H5&lt;&gt;"",L5&lt;&gt;""),G5*H5*L5*Cb*Rho_sw,""))</f>
        <v/>
      </c>
      <c r="N5" s="2">
        <f>IF(F5="","",IF(AND(M5&lt;&gt;"",E5&lt;&gt;""),MIN(M5^(2/3)*F5^3/C_adm,E5*HP_kW*Load),IF(M5&lt;&gt;"",M5^(2/3)*F5^3/C_adm,IF(E5&lt;&gt;"",E5*HP_kW*Load,""))))</f>
        <v/>
      </c>
      <c r="O5" s="2">
        <f>IF(N5="","",N5*BSFC/Rho_fuel)</f>
        <v/>
      </c>
      <c r="P5" s="2">
        <f>IF(OR(O5="",F5=""),"",O5/F5)</f>
        <v/>
      </c>
      <c r="Q5" s="2">
        <f>IF(OR(P5="",D5=""),"",P5/D5)</f>
        <v/>
      </c>
      <c r="R5" s="2">
        <f>IF(K5&lt;&gt;"",K5,RepRoutePerDay)</f>
        <v/>
      </c>
      <c r="S5" s="2">
        <f>IF(Q5="","",ROUND(Q5*R5,1))</f>
        <v/>
      </c>
      <c r="T5" s="2">
        <f>IF(E5="",PenEngine,1)*IF(G5="",PenMissing,1)*IF(F5="",PenMissing,1)*IF(D5="",PenMissing,1)</f>
        <v/>
      </c>
      <c r="U5" s="2">
        <f>IFERROR(IF(S5="","",100*(MAX($S$2:$S$127)-S5)/(MAX($S$2:$S$127)-MIN($S$2:$S$127))),"")</f>
        <v/>
      </c>
      <c r="V5" s="2">
        <f>IF(U5="","",ROUND(U5*T5,1))</f>
        <v/>
      </c>
      <c r="W5" t="inlineStr">
        <is>
          <t>no_engine_data, missing_crew_count, missing_price_per_day</t>
        </is>
      </c>
    </row>
    <row r="6">
      <c r="A6" s="2">
        <f>IF(V6="","",RANK(V6,$V$2:$V$127))</f>
        <v/>
      </c>
      <c r="B6" t="inlineStr">
        <is>
          <t>Aida Maria</t>
        </is>
      </c>
      <c r="C6" t="inlineStr">
        <is>
          <t>Yacht</t>
        </is>
      </c>
      <c r="D6" s="3" t="n">
        <v>16</v>
      </c>
      <c r="E6" s="3" t="n">
        <v>250</v>
      </c>
      <c r="F6" s="3" t="n">
        <v>9</v>
      </c>
      <c r="G6" s="3" t="n">
        <v>21.3</v>
      </c>
      <c r="H6" s="3" t="n">
        <v>7</v>
      </c>
      <c r="I6" s="3" t="n"/>
      <c r="J6" s="3" t="n"/>
      <c r="K6" s="3" t="n">
        <v>33.1</v>
      </c>
      <c r="L6" s="2">
        <f>IF(I6&lt;&gt;"",I6,IF(G6&lt;&gt;"",MAX(DraftMin,DraftK*G6),""))</f>
        <v/>
      </c>
      <c r="M6" s="2">
        <f>IF(J6&lt;&gt;"",J6*GT_disp,IF(AND(G6&lt;&gt;"",H6&lt;&gt;"",L6&lt;&gt;""),G6*H6*L6*Cb*Rho_sw,""))</f>
        <v/>
      </c>
      <c r="N6" s="2">
        <f>IF(F6="","",IF(AND(M6&lt;&gt;"",E6&lt;&gt;""),MIN(M6^(2/3)*F6^3/C_adm,E6*HP_kW*Load),IF(M6&lt;&gt;"",M6^(2/3)*F6^3/C_adm,IF(E6&lt;&gt;"",E6*HP_kW*Load,""))))</f>
        <v/>
      </c>
      <c r="O6" s="2">
        <f>IF(N6="","",N6*BSFC/Rho_fuel)</f>
        <v/>
      </c>
      <c r="P6" s="2">
        <f>IF(OR(O6="",F6=""),"",O6/F6)</f>
        <v/>
      </c>
      <c r="Q6" s="2">
        <f>IF(OR(P6="",D6=""),"",P6/D6)</f>
        <v/>
      </c>
      <c r="R6" s="2">
        <f>IF(K6&lt;&gt;"",K6,RepRoutePerDay)</f>
        <v/>
      </c>
      <c r="S6" s="2">
        <f>IF(Q6="","",ROUND(Q6*R6,1))</f>
        <v/>
      </c>
      <c r="T6" s="2">
        <f>IF(E6="",PenEngine,1)*IF(G6="",PenMissing,1)*IF(F6="",PenMissing,1)*IF(D6="",PenMissing,1)</f>
        <v/>
      </c>
      <c r="U6" s="2">
        <f>IFERROR(IF(S6="","",100*(MAX($S$2:$S$127)-S6)/(MAX($S$2:$S$127)-MIN($S$2:$S$127))),"")</f>
        <v/>
      </c>
      <c r="V6" s="2">
        <f>IF(U6="","",ROUND(U6*T6,1))</f>
        <v/>
      </c>
      <c r="W6" t="inlineStr"/>
    </row>
    <row r="7">
      <c r="A7" s="2">
        <f>IF(V7="","",RANK(V7,$V$2:$V$127))</f>
        <v/>
      </c>
      <c r="B7" t="inlineStr">
        <is>
          <t>Aqua Diving</t>
        </is>
      </c>
      <c r="C7" t="inlineStr">
        <is>
          <t>Yacht</t>
        </is>
      </c>
      <c r="D7" s="3" t="n">
        <v>16</v>
      </c>
      <c r="E7" s="3" t="n">
        <v>500</v>
      </c>
      <c r="F7" s="3" t="n">
        <v>9</v>
      </c>
      <c r="G7" s="3" t="n">
        <v>26</v>
      </c>
      <c r="H7" s="3" t="n">
        <v>5</v>
      </c>
      <c r="I7" s="3" t="n"/>
      <c r="J7" s="3" t="n"/>
      <c r="K7" s="3" t="n">
        <v>34.6</v>
      </c>
      <c r="L7" s="2">
        <f>IF(I7&lt;&gt;"",I7,IF(G7&lt;&gt;"",MAX(DraftMin,DraftK*G7),""))</f>
        <v/>
      </c>
      <c r="M7" s="2">
        <f>IF(J7&lt;&gt;"",J7*GT_disp,IF(AND(G7&lt;&gt;"",H7&lt;&gt;"",L7&lt;&gt;""),G7*H7*L7*Cb*Rho_sw,""))</f>
        <v/>
      </c>
      <c r="N7" s="2">
        <f>IF(F7="","",IF(AND(M7&lt;&gt;"",E7&lt;&gt;""),MIN(M7^(2/3)*F7^3/C_adm,E7*HP_kW*Load),IF(M7&lt;&gt;"",M7^(2/3)*F7^3/C_adm,IF(E7&lt;&gt;"",E7*HP_kW*Load,""))))</f>
        <v/>
      </c>
      <c r="O7" s="2">
        <f>IF(N7="","",N7*BSFC/Rho_fuel)</f>
        <v/>
      </c>
      <c r="P7" s="2">
        <f>IF(OR(O7="",F7=""),"",O7/F7)</f>
        <v/>
      </c>
      <c r="Q7" s="2">
        <f>IF(OR(P7="",D7=""),"",P7/D7)</f>
        <v/>
      </c>
      <c r="R7" s="2">
        <f>IF(K7&lt;&gt;"",K7,RepRoutePerDay)</f>
        <v/>
      </c>
      <c r="S7" s="2">
        <f>IF(Q7="","",ROUND(Q7*R7,1))</f>
        <v/>
      </c>
      <c r="T7" s="2">
        <f>IF(E7="",PenEngine,1)*IF(G7="",PenMissing,1)*IF(F7="",PenMissing,1)*IF(D7="",PenMissing,1)</f>
        <v/>
      </c>
      <c r="U7" s="2">
        <f>IFERROR(IF(S7="","",100*(MAX($S$2:$S$127)-S7)/(MAX($S$2:$S$127)-MIN($S$2:$S$127))),"")</f>
        <v/>
      </c>
      <c r="V7" s="2">
        <f>IF(U7="","",ROUND(U7*T7,1))</f>
        <v/>
      </c>
      <c r="W7" t="inlineStr"/>
    </row>
    <row r="8">
      <c r="A8" s="2">
        <f>IF(V8="","",RANK(V8,$V$2:$V$127))</f>
        <v/>
      </c>
      <c r="B8" t="inlineStr">
        <is>
          <t>Santa Cruz Ii</t>
        </is>
      </c>
      <c r="C8" t="inlineStr">
        <is>
          <t>Ship</t>
        </is>
      </c>
      <c r="D8" s="3" t="n">
        <v>90</v>
      </c>
      <c r="E8" s="3" t="n">
        <v>1700</v>
      </c>
      <c r="F8" s="3" t="n">
        <v>11</v>
      </c>
      <c r="G8" s="3" t="n">
        <v>72</v>
      </c>
      <c r="H8" s="3" t="n">
        <v>4</v>
      </c>
      <c r="I8" s="3" t="n"/>
      <c r="J8" s="3" t="n"/>
      <c r="K8" s="3" t="n">
        <v>41.7</v>
      </c>
      <c r="L8" s="2">
        <f>IF(I8&lt;&gt;"",I8,IF(G8&lt;&gt;"",MAX(DraftMin,DraftK*G8),""))</f>
        <v/>
      </c>
      <c r="M8" s="2">
        <f>IF(J8&lt;&gt;"",J8*GT_disp,IF(AND(G8&lt;&gt;"",H8&lt;&gt;"",L8&lt;&gt;""),G8*H8*L8*Cb*Rho_sw,""))</f>
        <v/>
      </c>
      <c r="N8" s="2">
        <f>IF(F8="","",IF(AND(M8&lt;&gt;"",E8&lt;&gt;""),MIN(M8^(2/3)*F8^3/C_adm,E8*HP_kW*Load),IF(M8&lt;&gt;"",M8^(2/3)*F8^3/C_adm,IF(E8&lt;&gt;"",E8*HP_kW*Load,""))))</f>
        <v/>
      </c>
      <c r="O8" s="2">
        <f>IF(N8="","",N8*BSFC/Rho_fuel)</f>
        <v/>
      </c>
      <c r="P8" s="2">
        <f>IF(OR(O8="",F8=""),"",O8/F8)</f>
        <v/>
      </c>
      <c r="Q8" s="2">
        <f>IF(OR(P8="",D8=""),"",P8/D8)</f>
        <v/>
      </c>
      <c r="R8" s="2">
        <f>IF(K8&lt;&gt;"",K8,RepRoutePerDay)</f>
        <v/>
      </c>
      <c r="S8" s="2">
        <f>IF(Q8="","",ROUND(Q8*R8,1))</f>
        <v/>
      </c>
      <c r="T8" s="2">
        <f>IF(E8="",PenEngine,1)*IF(G8="",PenMissing,1)*IF(F8="",PenMissing,1)*IF(D8="",PenMissing,1)</f>
        <v/>
      </c>
      <c r="U8" s="2">
        <f>IFERROR(IF(S8="","",100*(MAX($S$2:$S$127)-S8)/(MAX($S$2:$S$127)-MIN($S$2:$S$127))),"")</f>
        <v/>
      </c>
      <c r="V8" s="2">
        <f>IF(U8="","",ROUND(U8*T8,1))</f>
        <v/>
      </c>
      <c r="W8" t="inlineStr">
        <is>
          <t>length_ft_m_mismatch, missing_price_per_day</t>
        </is>
      </c>
    </row>
    <row r="9">
      <c r="A9" s="2">
        <f>IF(V9="","",RANK(V9,$V$2:$V$127))</f>
        <v/>
      </c>
      <c r="B9" t="inlineStr">
        <is>
          <t>Bonita</t>
        </is>
      </c>
      <c r="C9" t="inlineStr">
        <is>
          <t>Yacht</t>
        </is>
      </c>
      <c r="D9" s="3" t="n">
        <v>16</v>
      </c>
      <c r="E9" s="3" t="n"/>
      <c r="F9" s="3" t="n">
        <v>9</v>
      </c>
      <c r="G9" s="3" t="n">
        <v>25</v>
      </c>
      <c r="H9" s="3" t="n">
        <v>6</v>
      </c>
      <c r="I9" s="3" t="n"/>
      <c r="J9" s="3" t="n"/>
      <c r="K9" s="3" t="n"/>
      <c r="L9" s="2">
        <f>IF(I9&lt;&gt;"",I9,IF(G9&lt;&gt;"",MAX(DraftMin,DraftK*G9),""))</f>
        <v/>
      </c>
      <c r="M9" s="2">
        <f>IF(J9&lt;&gt;"",J9*GT_disp,IF(AND(G9&lt;&gt;"",H9&lt;&gt;"",L9&lt;&gt;""),G9*H9*L9*Cb*Rho_sw,""))</f>
        <v/>
      </c>
      <c r="N9" s="2">
        <f>IF(F9="","",IF(AND(M9&lt;&gt;"",E9&lt;&gt;""),MIN(M9^(2/3)*F9^3/C_adm,E9*HP_kW*Load),IF(M9&lt;&gt;"",M9^(2/3)*F9^3/C_adm,IF(E9&lt;&gt;"",E9*HP_kW*Load,""))))</f>
        <v/>
      </c>
      <c r="O9" s="2">
        <f>IF(N9="","",N9*BSFC/Rho_fuel)</f>
        <v/>
      </c>
      <c r="P9" s="2">
        <f>IF(OR(O9="",F9=""),"",O9/F9)</f>
        <v/>
      </c>
      <c r="Q9" s="2">
        <f>IF(OR(P9="",D9=""),"",P9/D9)</f>
        <v/>
      </c>
      <c r="R9" s="2">
        <f>IF(K9&lt;&gt;"",K9,RepRoutePerDay)</f>
        <v/>
      </c>
      <c r="S9" s="2">
        <f>IF(Q9="","",ROUND(Q9*R9,1))</f>
        <v/>
      </c>
      <c r="T9" s="2">
        <f>IF(E9="",PenEngine,1)*IF(G9="",PenMissing,1)*IF(F9="",PenMissing,1)*IF(D9="",PenMissing,1)</f>
        <v/>
      </c>
      <c r="U9" s="2">
        <f>IFERROR(IF(S9="","",100*(MAX($S$2:$S$127)-S9)/(MAX($S$2:$S$127)-MIN($S$2:$S$127))),"")</f>
        <v/>
      </c>
      <c r="V9" s="2">
        <f>IF(U9="","",ROUND(U9*T9,1))</f>
        <v/>
      </c>
      <c r="W9" t="inlineStr"/>
    </row>
    <row r="10">
      <c r="A10" s="2">
        <f>IF(V10="","",RANK(V10,$V$2:$V$127))</f>
        <v/>
      </c>
      <c r="B10" t="inlineStr">
        <is>
          <t>Eden</t>
        </is>
      </c>
      <c r="C10" t="inlineStr">
        <is>
          <t>Yacht</t>
        </is>
      </c>
      <c r="D10" s="3" t="n">
        <v>16</v>
      </c>
      <c r="E10" s="3" t="n"/>
      <c r="F10" s="3" t="n">
        <v>9</v>
      </c>
      <c r="G10" s="3" t="n">
        <v>24</v>
      </c>
      <c r="H10" s="3" t="n">
        <v>6</v>
      </c>
      <c r="I10" s="3" t="n">
        <v>2.46</v>
      </c>
      <c r="J10" s="3" t="n"/>
      <c r="K10" s="3" t="n">
        <v>30.3</v>
      </c>
      <c r="L10" s="2">
        <f>IF(I10&lt;&gt;"",I10,IF(G10&lt;&gt;"",MAX(DraftMin,DraftK*G10),""))</f>
        <v/>
      </c>
      <c r="M10" s="2">
        <f>IF(J10&lt;&gt;"",J10*GT_disp,IF(AND(G10&lt;&gt;"",H10&lt;&gt;"",L10&lt;&gt;""),G10*H10*L10*Cb*Rho_sw,""))</f>
        <v/>
      </c>
      <c r="N10" s="2">
        <f>IF(F10="","",IF(AND(M10&lt;&gt;"",E10&lt;&gt;""),MIN(M10^(2/3)*F10^3/C_adm,E10*HP_kW*Load),IF(M10&lt;&gt;"",M10^(2/3)*F10^3/C_adm,IF(E10&lt;&gt;"",E10*HP_kW*Load,""))))</f>
        <v/>
      </c>
      <c r="O10" s="2">
        <f>IF(N10="","",N10*BSFC/Rho_fuel)</f>
        <v/>
      </c>
      <c r="P10" s="2">
        <f>IF(OR(O10="",F10=""),"",O10/F10)</f>
        <v/>
      </c>
      <c r="Q10" s="2">
        <f>IF(OR(P10="",D10=""),"",P10/D10)</f>
        <v/>
      </c>
      <c r="R10" s="2">
        <f>IF(K10&lt;&gt;"",K10,RepRoutePerDay)</f>
        <v/>
      </c>
      <c r="S10" s="2">
        <f>IF(Q10="","",ROUND(Q10*R10,1))</f>
        <v/>
      </c>
      <c r="T10" s="2">
        <f>IF(E10="",PenEngine,1)*IF(G10="",PenMissing,1)*IF(F10="",PenMissing,1)*IF(D10="",PenMissing,1)</f>
        <v/>
      </c>
      <c r="U10" s="2">
        <f>IFERROR(IF(S10="","",100*(MAX($S$2:$S$127)-S10)/(MAX($S$2:$S$127)-MIN($S$2:$S$127))),"")</f>
        <v/>
      </c>
      <c r="V10" s="2">
        <f>IF(U10="","",ROUND(U10*T10,1))</f>
        <v/>
      </c>
      <c r="W10" t="inlineStr">
        <is>
          <t>length_ft_m_mismatch, no_engine_data</t>
        </is>
      </c>
    </row>
    <row r="11">
      <c r="A11" s="2">
        <f>IF(V11="","",RANK(V11,$V$2:$V$127))</f>
        <v/>
      </c>
      <c r="B11" t="inlineStr">
        <is>
          <t>Nemo Ii</t>
        </is>
      </c>
      <c r="C11" t="inlineStr">
        <is>
          <t>Catamaran</t>
        </is>
      </c>
      <c r="D11" s="3" t="n">
        <v>14</v>
      </c>
      <c r="E11" s="3" t="n">
        <v>256.4</v>
      </c>
      <c r="F11" s="3" t="n">
        <v>8</v>
      </c>
      <c r="G11" s="3" t="n">
        <v>22</v>
      </c>
      <c r="H11" s="3" t="n">
        <v>10</v>
      </c>
      <c r="I11" s="3" t="n">
        <v>1.5</v>
      </c>
      <c r="J11" s="3" t="n"/>
      <c r="K11" s="3" t="n">
        <v>37</v>
      </c>
      <c r="L11" s="2">
        <f>IF(I11&lt;&gt;"",I11,IF(G11&lt;&gt;"",MAX(DraftMin,DraftK*G11),""))</f>
        <v/>
      </c>
      <c r="M11" s="2">
        <f>IF(J11&lt;&gt;"",J11*GT_disp,IF(AND(G11&lt;&gt;"",H11&lt;&gt;"",L11&lt;&gt;""),G11*H11*L11*Cb*Rho_sw,""))</f>
        <v/>
      </c>
      <c r="N11" s="2">
        <f>IF(F11="","",IF(AND(M11&lt;&gt;"",E11&lt;&gt;""),MIN(M11^(2/3)*F11^3/C_adm,E11*HP_kW*Load),IF(M11&lt;&gt;"",M11^(2/3)*F11^3/C_adm,IF(E11&lt;&gt;"",E11*HP_kW*Load,""))))</f>
        <v/>
      </c>
      <c r="O11" s="2">
        <f>IF(N11="","",N11*BSFC/Rho_fuel)</f>
        <v/>
      </c>
      <c r="P11" s="2">
        <f>IF(OR(O11="",F11=""),"",O11/F11)</f>
        <v/>
      </c>
      <c r="Q11" s="2">
        <f>IF(OR(P11="",D11=""),"",P11/D11)</f>
        <v/>
      </c>
      <c r="R11" s="2">
        <f>IF(K11&lt;&gt;"",K11,RepRoutePerDay)</f>
        <v/>
      </c>
      <c r="S11" s="2">
        <f>IF(Q11="","",ROUND(Q11*R11,1))</f>
        <v/>
      </c>
      <c r="T11" s="2">
        <f>IF(E11="",PenEngine,1)*IF(G11="",PenMissing,1)*IF(F11="",PenMissing,1)*IF(D11="",PenMissing,1)</f>
        <v/>
      </c>
      <c r="U11" s="2">
        <f>IFERROR(IF(S11="","",100*(MAX($S$2:$S$127)-S11)/(MAX($S$2:$S$127)-MIN($S$2:$S$127))),"")</f>
        <v/>
      </c>
      <c r="V11" s="2">
        <f>IF(U11="","",ROUND(U11*T11,1))</f>
        <v/>
      </c>
      <c r="W11" t="inlineStr"/>
    </row>
    <row r="12">
      <c r="A12" s="2">
        <f>IF(V12="","",RANK(V12,$V$2:$V$127))</f>
        <v/>
      </c>
      <c r="B12" t="inlineStr">
        <is>
          <t>Letty</t>
        </is>
      </c>
      <c r="C12" t="inlineStr">
        <is>
          <t>Yacht</t>
        </is>
      </c>
      <c r="D12" s="3" t="n">
        <v>20</v>
      </c>
      <c r="E12" s="3" t="n">
        <v>804</v>
      </c>
      <c r="F12" s="3" t="n">
        <v>10</v>
      </c>
      <c r="G12" s="3" t="n">
        <v>25</v>
      </c>
      <c r="H12" s="3" t="n">
        <v>7</v>
      </c>
      <c r="I12" s="3" t="n">
        <v>1.83</v>
      </c>
      <c r="J12" s="3" t="n"/>
      <c r="K12" s="3" t="n"/>
      <c r="L12" s="2">
        <f>IF(I12&lt;&gt;"",I12,IF(G12&lt;&gt;"",MAX(DraftMin,DraftK*G12),""))</f>
        <v/>
      </c>
      <c r="M12" s="2">
        <f>IF(J12&lt;&gt;"",J12*GT_disp,IF(AND(G12&lt;&gt;"",H12&lt;&gt;"",L12&lt;&gt;""),G12*H12*L12*Cb*Rho_sw,""))</f>
        <v/>
      </c>
      <c r="N12" s="2">
        <f>IF(F12="","",IF(AND(M12&lt;&gt;"",E12&lt;&gt;""),MIN(M12^(2/3)*F12^3/C_adm,E12*HP_kW*Load),IF(M12&lt;&gt;"",M12^(2/3)*F12^3/C_adm,IF(E12&lt;&gt;"",E12*HP_kW*Load,""))))</f>
        <v/>
      </c>
      <c r="O12" s="2">
        <f>IF(N12="","",N12*BSFC/Rho_fuel)</f>
        <v/>
      </c>
      <c r="P12" s="2">
        <f>IF(OR(O12="",F12=""),"",O12/F12)</f>
        <v/>
      </c>
      <c r="Q12" s="2">
        <f>IF(OR(P12="",D12=""),"",P12/D12)</f>
        <v/>
      </c>
      <c r="R12" s="2">
        <f>IF(K12&lt;&gt;"",K12,RepRoutePerDay)</f>
        <v/>
      </c>
      <c r="S12" s="2">
        <f>IF(Q12="","",ROUND(Q12*R12,1))</f>
        <v/>
      </c>
      <c r="T12" s="2">
        <f>IF(E12="",PenEngine,1)*IF(G12="",PenMissing,1)*IF(F12="",PenMissing,1)*IF(D12="",PenMissing,1)</f>
        <v/>
      </c>
      <c r="U12" s="2">
        <f>IFERROR(IF(S12="","",100*(MAX($S$2:$S$127)-S12)/(MAX($S$2:$S$127)-MIN($S$2:$S$127))),"")</f>
        <v/>
      </c>
      <c r="V12" s="2">
        <f>IF(U12="","",ROUND(U12*T12,1))</f>
        <v/>
      </c>
      <c r="W12" t="inlineStr"/>
    </row>
    <row r="13">
      <c r="A13" s="2">
        <f>IF(V13="","",RANK(V13,$V$2:$V$127))</f>
        <v/>
      </c>
      <c r="B13" t="inlineStr">
        <is>
          <t>Galaxy Diver Ii</t>
        </is>
      </c>
      <c r="C13" t="inlineStr">
        <is>
          <t>Yacht</t>
        </is>
      </c>
      <c r="D13" s="3" t="n">
        <v>16</v>
      </c>
      <c r="E13" s="3" t="n">
        <v>160.9</v>
      </c>
      <c r="F13" s="3" t="n">
        <v>10</v>
      </c>
      <c r="G13" s="3" t="n">
        <v>25</v>
      </c>
      <c r="H13" s="3" t="n">
        <v>6</v>
      </c>
      <c r="I13" s="3" t="n">
        <v>1.8</v>
      </c>
      <c r="J13" s="3" t="n"/>
      <c r="K13" s="3" t="n"/>
      <c r="L13" s="2">
        <f>IF(I13&lt;&gt;"",I13,IF(G13&lt;&gt;"",MAX(DraftMin,DraftK*G13),""))</f>
        <v/>
      </c>
      <c r="M13" s="2">
        <f>IF(J13&lt;&gt;"",J13*GT_disp,IF(AND(G13&lt;&gt;"",H13&lt;&gt;"",L13&lt;&gt;""),G13*H13*L13*Cb*Rho_sw,""))</f>
        <v/>
      </c>
      <c r="N13" s="2">
        <f>IF(F13="","",IF(AND(M13&lt;&gt;"",E13&lt;&gt;""),MIN(M13^(2/3)*F13^3/C_adm,E13*HP_kW*Load),IF(M13&lt;&gt;"",M13^(2/3)*F13^3/C_adm,IF(E13&lt;&gt;"",E13*HP_kW*Load,""))))</f>
        <v/>
      </c>
      <c r="O13" s="2">
        <f>IF(N13="","",N13*BSFC/Rho_fuel)</f>
        <v/>
      </c>
      <c r="P13" s="2">
        <f>IF(OR(O13="",F13=""),"",O13/F13)</f>
        <v/>
      </c>
      <c r="Q13" s="2">
        <f>IF(OR(P13="",D13=""),"",P13/D13)</f>
        <v/>
      </c>
      <c r="R13" s="2">
        <f>IF(K13&lt;&gt;"",K13,RepRoutePerDay)</f>
        <v/>
      </c>
      <c r="S13" s="2">
        <f>IF(Q13="","",ROUND(Q13*R13,1))</f>
        <v/>
      </c>
      <c r="T13" s="2">
        <f>IF(E13="",PenEngine,1)*IF(G13="",PenMissing,1)*IF(F13="",PenMissing,1)*IF(D13="",PenMissing,1)</f>
        <v/>
      </c>
      <c r="U13" s="2">
        <f>IFERROR(IF(S13="","",100*(MAX($S$2:$S$127)-S13)/(MAX($S$2:$S$127)-MIN($S$2:$S$127))),"")</f>
        <v/>
      </c>
      <c r="V13" s="2">
        <f>IF(U13="","",ROUND(U13*T13,1))</f>
        <v/>
      </c>
      <c r="W13" t="inlineStr">
        <is>
          <t>length_ft_m_mismatch, missing_price_per_day</t>
        </is>
      </c>
    </row>
    <row r="14">
      <c r="A14" s="2">
        <f>IF(V14="","",RANK(V14,$V$2:$V$127))</f>
        <v/>
      </c>
      <c r="B14" t="inlineStr">
        <is>
          <t>Galaxy Diver Ii Naturalist</t>
        </is>
      </c>
      <c r="C14" t="inlineStr">
        <is>
          <t>Yacht</t>
        </is>
      </c>
      <c r="D14" s="3" t="n">
        <v>16</v>
      </c>
      <c r="E14" s="3" t="n">
        <v>160.9</v>
      </c>
      <c r="F14" s="3" t="n">
        <v>10</v>
      </c>
      <c r="G14" s="3" t="n"/>
      <c r="H14" s="3" t="n">
        <v>6</v>
      </c>
      <c r="I14" s="3" t="n">
        <v>180</v>
      </c>
      <c r="J14" s="3" t="n"/>
      <c r="K14" s="3" t="n"/>
      <c r="L14" s="2">
        <f>IF(I14&lt;&gt;"",I14,IF(G14&lt;&gt;"",MAX(DraftMin,DraftK*G14),""))</f>
        <v/>
      </c>
      <c r="M14" s="2">
        <f>IF(J14&lt;&gt;"",J14*GT_disp,IF(AND(G14&lt;&gt;"",H14&lt;&gt;"",L14&lt;&gt;""),G14*H14*L14*Cb*Rho_sw,""))</f>
        <v/>
      </c>
      <c r="N14" s="2">
        <f>IF(F14="","",IF(AND(M14&lt;&gt;"",E14&lt;&gt;""),MIN(M14^(2/3)*F14^3/C_adm,E14*HP_kW*Load),IF(M14&lt;&gt;"",M14^(2/3)*F14^3/C_adm,IF(E14&lt;&gt;"",E14*HP_kW*Load,""))))</f>
        <v/>
      </c>
      <c r="O14" s="2">
        <f>IF(N14="","",N14*BSFC/Rho_fuel)</f>
        <v/>
      </c>
      <c r="P14" s="2">
        <f>IF(OR(O14="",F14=""),"",O14/F14)</f>
        <v/>
      </c>
      <c r="Q14" s="2">
        <f>IF(OR(P14="",D14=""),"",P14/D14)</f>
        <v/>
      </c>
      <c r="R14" s="2">
        <f>IF(K14&lt;&gt;"",K14,RepRoutePerDay)</f>
        <v/>
      </c>
      <c r="S14" s="2">
        <f>IF(Q14="","",ROUND(Q14*R14,1))</f>
        <v/>
      </c>
      <c r="T14" s="2">
        <f>IF(E14="",PenEngine,1)*IF(G14="",PenMissing,1)*IF(F14="",PenMissing,1)*IF(D14="",PenMissing,1)</f>
        <v/>
      </c>
      <c r="U14" s="2">
        <f>IFERROR(IF(S14="","",100*(MAX($S$2:$S$127)-S14)/(MAX($S$2:$S$127)-MIN($S$2:$S$127))),"")</f>
        <v/>
      </c>
      <c r="V14" s="2">
        <f>IF(U14="","",ROUND(U14*T14,1))</f>
        <v/>
      </c>
      <c r="W14" t="inlineStr">
        <is>
          <t>length_ft_m_mismatch, missing_length_m</t>
        </is>
      </c>
    </row>
    <row r="15">
      <c r="A15" s="2">
        <f>IF(V15="","",RANK(V15,$V$2:$V$127))</f>
        <v/>
      </c>
      <c r="B15" t="inlineStr">
        <is>
          <t>Galaxy Orion</t>
        </is>
      </c>
      <c r="C15" t="inlineStr">
        <is>
          <t>Yacht</t>
        </is>
      </c>
      <c r="D15" s="3" t="n">
        <v>14</v>
      </c>
      <c r="E15" s="3" t="n">
        <v>160.9</v>
      </c>
      <c r="F15" s="3" t="n">
        <v>10</v>
      </c>
      <c r="G15" s="3" t="n"/>
      <c r="H15" s="3" t="n">
        <v>6</v>
      </c>
      <c r="I15" s="3" t="n">
        <v>1.83</v>
      </c>
      <c r="J15" s="3" t="n"/>
      <c r="K15" s="3" t="n"/>
      <c r="L15" s="2">
        <f>IF(I15&lt;&gt;"",I15,IF(G15&lt;&gt;"",MAX(DraftMin,DraftK*G15),""))</f>
        <v/>
      </c>
      <c r="M15" s="2">
        <f>IF(J15&lt;&gt;"",J15*GT_disp,IF(AND(G15&lt;&gt;"",H15&lt;&gt;"",L15&lt;&gt;""),G15*H15*L15*Cb*Rho_sw,""))</f>
        <v/>
      </c>
      <c r="N15" s="2">
        <f>IF(F15="","",IF(AND(M15&lt;&gt;"",E15&lt;&gt;""),MIN(M15^(2/3)*F15^3/C_adm,E15*HP_kW*Load),IF(M15&lt;&gt;"",M15^(2/3)*F15^3/C_adm,IF(E15&lt;&gt;"",E15*HP_kW*Load,""))))</f>
        <v/>
      </c>
      <c r="O15" s="2">
        <f>IF(N15="","",N15*BSFC/Rho_fuel)</f>
        <v/>
      </c>
      <c r="P15" s="2">
        <f>IF(OR(O15="",F15=""),"",O15/F15)</f>
        <v/>
      </c>
      <c r="Q15" s="2">
        <f>IF(OR(P15="",D15=""),"",P15/D15)</f>
        <v/>
      </c>
      <c r="R15" s="2">
        <f>IF(K15&lt;&gt;"",K15,RepRoutePerDay)</f>
        <v/>
      </c>
      <c r="S15" s="2">
        <f>IF(Q15="","",ROUND(Q15*R15,1))</f>
        <v/>
      </c>
      <c r="T15" s="2">
        <f>IF(E15="",PenEngine,1)*IF(G15="",PenMissing,1)*IF(F15="",PenMissing,1)*IF(D15="",PenMissing,1)</f>
        <v/>
      </c>
      <c r="U15" s="2">
        <f>IFERROR(IF(S15="","",100*(MAX($S$2:$S$127)-S15)/(MAX($S$2:$S$127)-MIN($S$2:$S$127))),"")</f>
        <v/>
      </c>
      <c r="V15" s="2">
        <f>IF(U15="","",ROUND(U15*T15,1))</f>
        <v/>
      </c>
      <c r="W15" t="inlineStr">
        <is>
          <t>length_ft_m_mismatch, length_ft_m_mismatch, missing_length_m</t>
        </is>
      </c>
    </row>
    <row r="16">
      <c r="A16" s="2">
        <f>IF(V16="","",RANK(V16,$V$2:$V$127))</f>
        <v/>
      </c>
      <c r="B16" t="inlineStr">
        <is>
          <t>National Geographic Islander Ii</t>
        </is>
      </c>
      <c r="C16" t="inlineStr">
        <is>
          <t>Yacht</t>
        </is>
      </c>
      <c r="D16" s="3" t="n">
        <v>48</v>
      </c>
      <c r="E16" s="3" t="n"/>
      <c r="F16" s="3" t="n">
        <v>14</v>
      </c>
      <c r="G16" s="3" t="n">
        <v>49</v>
      </c>
      <c r="H16" s="3" t="n">
        <v>3</v>
      </c>
      <c r="I16" s="3" t="n"/>
      <c r="J16" s="3" t="n"/>
      <c r="K16" s="3" t="n"/>
      <c r="L16" s="2">
        <f>IF(I16&lt;&gt;"",I16,IF(G16&lt;&gt;"",MAX(DraftMin,DraftK*G16),""))</f>
        <v/>
      </c>
      <c r="M16" s="2">
        <f>IF(J16&lt;&gt;"",J16*GT_disp,IF(AND(G16&lt;&gt;"",H16&lt;&gt;"",L16&lt;&gt;""),G16*H16*L16*Cb*Rho_sw,""))</f>
        <v/>
      </c>
      <c r="N16" s="2">
        <f>IF(F16="","",IF(AND(M16&lt;&gt;"",E16&lt;&gt;""),MIN(M16^(2/3)*F16^3/C_adm,E16*HP_kW*Load),IF(M16&lt;&gt;"",M16^(2/3)*F16^3/C_adm,IF(E16&lt;&gt;"",E16*HP_kW*Load,""))))</f>
        <v/>
      </c>
      <c r="O16" s="2">
        <f>IF(N16="","",N16*BSFC/Rho_fuel)</f>
        <v/>
      </c>
      <c r="P16" s="2">
        <f>IF(OR(O16="",F16=""),"",O16/F16)</f>
        <v/>
      </c>
      <c r="Q16" s="2">
        <f>IF(OR(P16="",D16=""),"",P16/D16)</f>
        <v/>
      </c>
      <c r="R16" s="2">
        <f>IF(K16&lt;&gt;"",K16,RepRoutePerDay)</f>
        <v/>
      </c>
      <c r="S16" s="2">
        <f>IF(Q16="","",ROUND(Q16*R16,1))</f>
        <v/>
      </c>
      <c r="T16" s="2">
        <f>IF(E16="",PenEngine,1)*IF(G16="",PenMissing,1)*IF(F16="",PenMissing,1)*IF(D16="",PenMissing,1)</f>
        <v/>
      </c>
      <c r="U16" s="2">
        <f>IFERROR(IF(S16="","",100*(MAX($S$2:$S$127)-S16)/(MAX($S$2:$S$127)-MIN($S$2:$S$127))),"")</f>
        <v/>
      </c>
      <c r="V16" s="2">
        <f>IF(U16="","",ROUND(U16*T16,1))</f>
        <v/>
      </c>
      <c r="W16" t="inlineStr">
        <is>
          <t>no_engine_data, missing_crew_count, missing_price_per_day</t>
        </is>
      </c>
    </row>
    <row r="17">
      <c r="A17" s="2">
        <f>IF(V17="","",RANK(V17,$V$2:$V$127))</f>
        <v/>
      </c>
      <c r="B17" t="inlineStr">
        <is>
          <t>Monserrat</t>
        </is>
      </c>
      <c r="C17" t="inlineStr">
        <is>
          <t>Yacht</t>
        </is>
      </c>
      <c r="D17" s="3" t="n">
        <v>16</v>
      </c>
      <c r="E17" s="3" t="n">
        <v>340</v>
      </c>
      <c r="F17" s="3" t="n">
        <v>12</v>
      </c>
      <c r="G17" s="3" t="n">
        <v>28</v>
      </c>
      <c r="H17" s="3" t="n">
        <v>7</v>
      </c>
      <c r="I17" s="3" t="n"/>
      <c r="J17" s="3" t="n"/>
      <c r="K17" s="3" t="n">
        <v>25.1</v>
      </c>
      <c r="L17" s="2">
        <f>IF(I17&lt;&gt;"",I17,IF(G17&lt;&gt;"",MAX(DraftMin,DraftK*G17),""))</f>
        <v/>
      </c>
      <c r="M17" s="2">
        <f>IF(J17&lt;&gt;"",J17*GT_disp,IF(AND(G17&lt;&gt;"",H17&lt;&gt;"",L17&lt;&gt;""),G17*H17*L17*Cb*Rho_sw,""))</f>
        <v/>
      </c>
      <c r="N17" s="2">
        <f>IF(F17="","",IF(AND(M17&lt;&gt;"",E17&lt;&gt;""),MIN(M17^(2/3)*F17^3/C_adm,E17*HP_kW*Load),IF(M17&lt;&gt;"",M17^(2/3)*F17^3/C_adm,IF(E17&lt;&gt;"",E17*HP_kW*Load,""))))</f>
        <v/>
      </c>
      <c r="O17" s="2">
        <f>IF(N17="","",N17*BSFC/Rho_fuel)</f>
        <v/>
      </c>
      <c r="P17" s="2">
        <f>IF(OR(O17="",F17=""),"",O17/F17)</f>
        <v/>
      </c>
      <c r="Q17" s="2">
        <f>IF(OR(P17="",D17=""),"",P17/D17)</f>
        <v/>
      </c>
      <c r="R17" s="2">
        <f>IF(K17&lt;&gt;"",K17,RepRoutePerDay)</f>
        <v/>
      </c>
      <c r="S17" s="2">
        <f>IF(Q17="","",ROUND(Q17*R17,1))</f>
        <v/>
      </c>
      <c r="T17" s="2">
        <f>IF(E17="",PenEngine,1)*IF(G17="",PenMissing,1)*IF(F17="",PenMissing,1)*IF(D17="",PenMissing,1)</f>
        <v/>
      </c>
      <c r="U17" s="2">
        <f>IFERROR(IF(S17="","",100*(MAX($S$2:$S$127)-S17)/(MAX($S$2:$S$127)-MIN($S$2:$S$127))),"")</f>
        <v/>
      </c>
      <c r="V17" s="2">
        <f>IF(U17="","",ROUND(U17*T17,1))</f>
        <v/>
      </c>
      <c r="W17" t="inlineStr"/>
    </row>
    <row r="18">
      <c r="A18" s="2">
        <f>IF(V18="","",RANK(V18,$V$2:$V$127))</f>
        <v/>
      </c>
      <c r="B18" t="inlineStr">
        <is>
          <t>National Geographic Endeavour Ii</t>
        </is>
      </c>
      <c r="C18" t="inlineStr">
        <is>
          <t>Ship</t>
        </is>
      </c>
      <c r="D18" s="3" t="n">
        <v>96</v>
      </c>
      <c r="E18" s="3" t="n"/>
      <c r="F18" s="3" t="n">
        <v>12</v>
      </c>
      <c r="G18" s="3" t="n">
        <v>72</v>
      </c>
      <c r="H18" s="3" t="n">
        <v>13</v>
      </c>
      <c r="I18" s="3" t="n">
        <v>3</v>
      </c>
      <c r="J18" s="3" t="n"/>
      <c r="K18" s="3" t="n"/>
      <c r="L18" s="2">
        <f>IF(I18&lt;&gt;"",I18,IF(G18&lt;&gt;"",MAX(DraftMin,DraftK*G18),""))</f>
        <v/>
      </c>
      <c r="M18" s="2">
        <f>IF(J18&lt;&gt;"",J18*GT_disp,IF(AND(G18&lt;&gt;"",H18&lt;&gt;"",L18&lt;&gt;""),G18*H18*L18*Cb*Rho_sw,""))</f>
        <v/>
      </c>
      <c r="N18" s="2">
        <f>IF(F18="","",IF(AND(M18&lt;&gt;"",E18&lt;&gt;""),MIN(M18^(2/3)*F18^3/C_adm,E18*HP_kW*Load),IF(M18&lt;&gt;"",M18^(2/3)*F18^3/C_adm,IF(E18&lt;&gt;"",E18*HP_kW*Load,""))))</f>
        <v/>
      </c>
      <c r="O18" s="2">
        <f>IF(N18="","",N18*BSFC/Rho_fuel)</f>
        <v/>
      </c>
      <c r="P18" s="2">
        <f>IF(OR(O18="",F18=""),"",O18/F18)</f>
        <v/>
      </c>
      <c r="Q18" s="2">
        <f>IF(OR(P18="",D18=""),"",P18/D18)</f>
        <v/>
      </c>
      <c r="R18" s="2">
        <f>IF(K18&lt;&gt;"",K18,RepRoutePerDay)</f>
        <v/>
      </c>
      <c r="S18" s="2">
        <f>IF(Q18="","",ROUND(Q18*R18,1))</f>
        <v/>
      </c>
      <c r="T18" s="2">
        <f>IF(E18="",PenEngine,1)*IF(G18="",PenMissing,1)*IF(F18="",PenMissing,1)*IF(D18="",PenMissing,1)</f>
        <v/>
      </c>
      <c r="U18" s="2">
        <f>IFERROR(IF(S18="","",100*(MAX($S$2:$S$127)-S18)/(MAX($S$2:$S$127)-MIN($S$2:$S$127))),"")</f>
        <v/>
      </c>
      <c r="V18" s="2">
        <f>IF(U18="","",ROUND(U18*T18,1))</f>
        <v/>
      </c>
      <c r="W18" t="inlineStr">
        <is>
          <t>no_engine_data, missing_price_per_day</t>
        </is>
      </c>
    </row>
    <row r="19">
      <c r="A19" s="2">
        <f>IF(V19="","",RANK(V19,$V$2:$V$127))</f>
        <v/>
      </c>
      <c r="B19" t="inlineStr">
        <is>
          <t>Eco Galaxy II</t>
        </is>
      </c>
      <c r="C19" t="inlineStr">
        <is>
          <t>Small Yacht</t>
        </is>
      </c>
      <c r="D19" s="3" t="n">
        <v>16</v>
      </c>
      <c r="E19" s="3" t="n"/>
      <c r="F19" s="3" t="n">
        <v>11</v>
      </c>
      <c r="G19" s="3" t="n">
        <v>27</v>
      </c>
      <c r="H19" s="3" t="n">
        <v>5</v>
      </c>
      <c r="I19" s="3" t="n"/>
      <c r="J19" s="3" t="n"/>
      <c r="K19" s="3" t="n"/>
      <c r="L19" s="2">
        <f>IF(I19&lt;&gt;"",I19,IF(G19&lt;&gt;"",MAX(DraftMin,DraftK*G19),""))</f>
        <v/>
      </c>
      <c r="M19" s="2">
        <f>IF(J19&lt;&gt;"",J19*GT_disp,IF(AND(G19&lt;&gt;"",H19&lt;&gt;"",L19&lt;&gt;""),G19*H19*L19*Cb*Rho_sw,""))</f>
        <v/>
      </c>
      <c r="N19" s="2">
        <f>IF(F19="","",IF(AND(M19&lt;&gt;"",E19&lt;&gt;""),MIN(M19^(2/3)*F19^3/C_adm,E19*HP_kW*Load),IF(M19&lt;&gt;"",M19^(2/3)*F19^3/C_adm,IF(E19&lt;&gt;"",E19*HP_kW*Load,""))))</f>
        <v/>
      </c>
      <c r="O19" s="2">
        <f>IF(N19="","",N19*BSFC/Rho_fuel)</f>
        <v/>
      </c>
      <c r="P19" s="2">
        <f>IF(OR(O19="",F19=""),"",O19/F19)</f>
        <v/>
      </c>
      <c r="Q19" s="2">
        <f>IF(OR(P19="",D19=""),"",P19/D19)</f>
        <v/>
      </c>
      <c r="R19" s="2">
        <f>IF(K19&lt;&gt;"",K19,RepRoutePerDay)</f>
        <v/>
      </c>
      <c r="S19" s="2">
        <f>IF(Q19="","",ROUND(Q19*R19,1))</f>
        <v/>
      </c>
      <c r="T19" s="2">
        <f>IF(E19="",PenEngine,1)*IF(G19="",PenMissing,1)*IF(F19="",PenMissing,1)*IF(D19="",PenMissing,1)</f>
        <v/>
      </c>
      <c r="U19" s="2">
        <f>IFERROR(IF(S19="","",100*(MAX($S$2:$S$127)-S19)/(MAX($S$2:$S$127)-MIN($S$2:$S$127))),"")</f>
        <v/>
      </c>
      <c r="V19" s="2">
        <f>IF(U19="","",ROUND(U19*T19,1))</f>
        <v/>
      </c>
      <c r="W19" t="inlineStr">
        <is>
          <t>no_engine_data, missing_crew_count, missing_price_per_day</t>
        </is>
      </c>
    </row>
    <row r="20">
      <c r="A20" s="2">
        <f>IF(V20="","",RANK(V20,$V$2:$V$127))</f>
        <v/>
      </c>
      <c r="B20" t="inlineStr">
        <is>
          <t>Hermes</t>
        </is>
      </c>
      <c r="C20" t="inlineStr">
        <is>
          <t>Catamaran</t>
        </is>
      </c>
      <c r="D20" s="3" t="n">
        <v>20</v>
      </c>
      <c r="E20" s="3" t="n">
        <v>340</v>
      </c>
      <c r="F20" s="3" t="n">
        <v>12</v>
      </c>
      <c r="G20" s="3" t="n">
        <v>50</v>
      </c>
      <c r="H20" s="3" t="n">
        <v>14</v>
      </c>
      <c r="I20" s="3" t="n"/>
      <c r="J20" s="3" t="n"/>
      <c r="K20" s="3" t="n"/>
      <c r="L20" s="2">
        <f>IF(I20&lt;&gt;"",I20,IF(G20&lt;&gt;"",MAX(DraftMin,DraftK*G20),""))</f>
        <v/>
      </c>
      <c r="M20" s="2">
        <f>IF(J20&lt;&gt;"",J20*GT_disp,IF(AND(G20&lt;&gt;"",H20&lt;&gt;"",L20&lt;&gt;""),G20*H20*L20*Cb*Rho_sw,""))</f>
        <v/>
      </c>
      <c r="N20" s="2">
        <f>IF(F20="","",IF(AND(M20&lt;&gt;"",E20&lt;&gt;""),MIN(M20^(2/3)*F20^3/C_adm,E20*HP_kW*Load),IF(M20&lt;&gt;"",M20^(2/3)*F20^3/C_adm,IF(E20&lt;&gt;"",E20*HP_kW*Load,""))))</f>
        <v/>
      </c>
      <c r="O20" s="2">
        <f>IF(N20="","",N20*BSFC/Rho_fuel)</f>
        <v/>
      </c>
      <c r="P20" s="2">
        <f>IF(OR(O20="",F20=""),"",O20/F20)</f>
        <v/>
      </c>
      <c r="Q20" s="2">
        <f>IF(OR(P20="",D20=""),"",P20/D20)</f>
        <v/>
      </c>
      <c r="R20" s="2">
        <f>IF(K20&lt;&gt;"",K20,RepRoutePerDay)</f>
        <v/>
      </c>
      <c r="S20" s="2">
        <f>IF(Q20="","",ROUND(Q20*R20,1))</f>
        <v/>
      </c>
      <c r="T20" s="2">
        <f>IF(E20="",PenEngine,1)*IF(G20="",PenMissing,1)*IF(F20="",PenMissing,1)*IF(D20="",PenMissing,1)</f>
        <v/>
      </c>
      <c r="U20" s="2">
        <f>IFERROR(IF(S20="","",100*(MAX($S$2:$S$127)-S20)/(MAX($S$2:$S$127)-MIN($S$2:$S$127))),"")</f>
        <v/>
      </c>
      <c r="V20" s="2">
        <f>IF(U20="","",ROUND(U20*T20,1))</f>
        <v/>
      </c>
      <c r="W20" t="inlineStr">
        <is>
          <t>missing_price_per_day</t>
        </is>
      </c>
    </row>
    <row r="21">
      <c r="A21" s="2">
        <f>IF(V21="","",RANK(V21,$V$2:$V$127))</f>
        <v/>
      </c>
      <c r="B21" t="inlineStr">
        <is>
          <t>Seaman Journey</t>
        </is>
      </c>
      <c r="C21" t="inlineStr">
        <is>
          <t>Catamaran</t>
        </is>
      </c>
      <c r="D21" s="3" t="n">
        <v>16</v>
      </c>
      <c r="E21" s="3" t="n">
        <v>690.4</v>
      </c>
      <c r="F21" s="3" t="n">
        <v>9</v>
      </c>
      <c r="G21" s="3" t="n">
        <v>27</v>
      </c>
      <c r="H21" s="3" t="n">
        <v>11</v>
      </c>
      <c r="I21" s="3" t="n"/>
      <c r="J21" s="3" t="n"/>
      <c r="K21" s="3" t="n">
        <v>34.1</v>
      </c>
      <c r="L21" s="2">
        <f>IF(I21&lt;&gt;"",I21,IF(G21&lt;&gt;"",MAX(DraftMin,DraftK*G21),""))</f>
        <v/>
      </c>
      <c r="M21" s="2">
        <f>IF(J21&lt;&gt;"",J21*GT_disp,IF(AND(G21&lt;&gt;"",H21&lt;&gt;"",L21&lt;&gt;""),G21*H21*L21*Cb*Rho_sw,""))</f>
        <v/>
      </c>
      <c r="N21" s="2">
        <f>IF(F21="","",IF(AND(M21&lt;&gt;"",E21&lt;&gt;""),MIN(M21^(2/3)*F21^3/C_adm,E21*HP_kW*Load),IF(M21&lt;&gt;"",M21^(2/3)*F21^3/C_adm,IF(E21&lt;&gt;"",E21*HP_kW*Load,""))))</f>
        <v/>
      </c>
      <c r="O21" s="2">
        <f>IF(N21="","",N21*BSFC/Rho_fuel)</f>
        <v/>
      </c>
      <c r="P21" s="2">
        <f>IF(OR(O21="",F21=""),"",O21/F21)</f>
        <v/>
      </c>
      <c r="Q21" s="2">
        <f>IF(OR(P21="",D21=""),"",P21/D21)</f>
        <v/>
      </c>
      <c r="R21" s="2">
        <f>IF(K21&lt;&gt;"",K21,RepRoutePerDay)</f>
        <v/>
      </c>
      <c r="S21" s="2">
        <f>IF(Q21="","",ROUND(Q21*R21,1))</f>
        <v/>
      </c>
      <c r="T21" s="2">
        <f>IF(E21="",PenEngine,1)*IF(G21="",PenMissing,1)*IF(F21="",PenMissing,1)*IF(D21="",PenMissing,1)</f>
        <v/>
      </c>
      <c r="U21" s="2">
        <f>IFERROR(IF(S21="","",100*(MAX($S$2:$S$127)-S21)/(MAX($S$2:$S$127)-MIN($S$2:$S$127))),"")</f>
        <v/>
      </c>
      <c r="V21" s="2">
        <f>IF(U21="","",ROUND(U21*T21,1))</f>
        <v/>
      </c>
      <c r="W21" t="inlineStr"/>
    </row>
    <row r="22">
      <c r="A22" s="2">
        <f>IF(V22="","",RANK(V22,$V$2:$V$127))</f>
        <v/>
      </c>
      <c r="B22" t="inlineStr">
        <is>
          <t>Angelito</t>
        </is>
      </c>
      <c r="C22" t="inlineStr">
        <is>
          <t>Yacht</t>
        </is>
      </c>
      <c r="D22" s="3" t="n">
        <v>16</v>
      </c>
      <c r="E22" s="3" t="n">
        <v>810</v>
      </c>
      <c r="F22" s="3" t="n">
        <v>12</v>
      </c>
      <c r="G22" s="3" t="n">
        <v>21</v>
      </c>
      <c r="H22" s="3" t="n">
        <v>7</v>
      </c>
      <c r="I22" s="3" t="n"/>
      <c r="J22" s="3" t="n"/>
      <c r="K22" s="3" t="n">
        <v>36.4</v>
      </c>
      <c r="L22" s="2">
        <f>IF(I22&lt;&gt;"",I22,IF(G22&lt;&gt;"",MAX(DraftMin,DraftK*G22),""))</f>
        <v/>
      </c>
      <c r="M22" s="2">
        <f>IF(J22&lt;&gt;"",J22*GT_disp,IF(AND(G22&lt;&gt;"",H22&lt;&gt;"",L22&lt;&gt;""),G22*H22*L22*Cb*Rho_sw,""))</f>
        <v/>
      </c>
      <c r="N22" s="2">
        <f>IF(F22="","",IF(AND(M22&lt;&gt;"",E22&lt;&gt;""),MIN(M22^(2/3)*F22^3/C_adm,E22*HP_kW*Load),IF(M22&lt;&gt;"",M22^(2/3)*F22^3/C_adm,IF(E22&lt;&gt;"",E22*HP_kW*Load,""))))</f>
        <v/>
      </c>
      <c r="O22" s="2">
        <f>IF(N22="","",N22*BSFC/Rho_fuel)</f>
        <v/>
      </c>
      <c r="P22" s="2">
        <f>IF(OR(O22="",F22=""),"",O22/F22)</f>
        <v/>
      </c>
      <c r="Q22" s="2">
        <f>IF(OR(P22="",D22=""),"",P22/D22)</f>
        <v/>
      </c>
      <c r="R22" s="2">
        <f>IF(K22&lt;&gt;"",K22,RepRoutePerDay)</f>
        <v/>
      </c>
      <c r="S22" s="2">
        <f>IF(Q22="","",ROUND(Q22*R22,1))</f>
        <v/>
      </c>
      <c r="T22" s="2">
        <f>IF(E22="",PenEngine,1)*IF(G22="",PenMissing,1)*IF(F22="",PenMissing,1)*IF(D22="",PenMissing,1)</f>
        <v/>
      </c>
      <c r="U22" s="2">
        <f>IFERROR(IF(S22="","",100*(MAX($S$2:$S$127)-S22)/(MAX($S$2:$S$127)-MIN($S$2:$S$127))),"")</f>
        <v/>
      </c>
      <c r="V22" s="2">
        <f>IF(U22="","",ROUND(U22*T22,1))</f>
        <v/>
      </c>
      <c r="W22" t="inlineStr"/>
    </row>
    <row r="23">
      <c r="A23" s="2">
        <f>IF(V23="","",RANK(V23,$V$2:$V$127))</f>
        <v/>
      </c>
      <c r="B23" t="inlineStr">
        <is>
          <t>Ocean Spray</t>
        </is>
      </c>
      <c r="C23" t="inlineStr">
        <is>
          <t>Catamaran</t>
        </is>
      </c>
      <c r="D23" s="3" t="n">
        <v>16</v>
      </c>
      <c r="E23" s="3" t="n">
        <v>405</v>
      </c>
      <c r="F23" s="3" t="n">
        <v>15</v>
      </c>
      <c r="G23" s="3" t="n">
        <v>34.4</v>
      </c>
      <c r="H23" s="3" t="n">
        <v>13</v>
      </c>
      <c r="I23" s="3" t="n"/>
      <c r="J23" s="3" t="n"/>
      <c r="K23" s="3" t="n">
        <v>33.6</v>
      </c>
      <c r="L23" s="2">
        <f>IF(I23&lt;&gt;"",I23,IF(G23&lt;&gt;"",MAX(DraftMin,DraftK*G23),""))</f>
        <v/>
      </c>
      <c r="M23" s="2">
        <f>IF(J23&lt;&gt;"",J23*GT_disp,IF(AND(G23&lt;&gt;"",H23&lt;&gt;"",L23&lt;&gt;""),G23*H23*L23*Cb*Rho_sw,""))</f>
        <v/>
      </c>
      <c r="N23" s="2">
        <f>IF(F23="","",IF(AND(M23&lt;&gt;"",E23&lt;&gt;""),MIN(M23^(2/3)*F23^3/C_adm,E23*HP_kW*Load),IF(M23&lt;&gt;"",M23^(2/3)*F23^3/C_adm,IF(E23&lt;&gt;"",E23*HP_kW*Load,""))))</f>
        <v/>
      </c>
      <c r="O23" s="2">
        <f>IF(N23="","",N23*BSFC/Rho_fuel)</f>
        <v/>
      </c>
      <c r="P23" s="2">
        <f>IF(OR(O23="",F23=""),"",O23/F23)</f>
        <v/>
      </c>
      <c r="Q23" s="2">
        <f>IF(OR(P23="",D23=""),"",P23/D23)</f>
        <v/>
      </c>
      <c r="R23" s="2">
        <f>IF(K23&lt;&gt;"",K23,RepRoutePerDay)</f>
        <v/>
      </c>
      <c r="S23" s="2">
        <f>IF(Q23="","",ROUND(Q23*R23,1))</f>
        <v/>
      </c>
      <c r="T23" s="2">
        <f>IF(E23="",PenEngine,1)*IF(G23="",PenMissing,1)*IF(F23="",PenMissing,1)*IF(D23="",PenMissing,1)</f>
        <v/>
      </c>
      <c r="U23" s="2">
        <f>IFERROR(IF(S23="","",100*(MAX($S$2:$S$127)-S23)/(MAX($S$2:$S$127)-MIN($S$2:$S$127))),"")</f>
        <v/>
      </c>
      <c r="V23" s="2">
        <f>IF(U23="","",ROUND(U23*T23,1))</f>
        <v/>
      </c>
      <c r="W23" t="inlineStr"/>
    </row>
    <row r="24">
      <c r="A24" s="2">
        <f>IF(V24="","",RANK(V24,$V$2:$V$127))</f>
        <v/>
      </c>
      <c r="B24" t="inlineStr">
        <is>
          <t>Aggressor Iii</t>
        </is>
      </c>
      <c r="C24" t="inlineStr">
        <is>
          <t>Yacht</t>
        </is>
      </c>
      <c r="D24" s="3" t="n">
        <v>16</v>
      </c>
      <c r="E24" s="3" t="n"/>
      <c r="F24" s="3" t="n">
        <v>10</v>
      </c>
      <c r="G24" s="3" t="n">
        <v>30</v>
      </c>
      <c r="H24" s="3" t="n">
        <v>7</v>
      </c>
      <c r="I24" s="3" t="n"/>
      <c r="J24" s="3" t="n"/>
      <c r="K24" s="3" t="n"/>
      <c r="L24" s="2">
        <f>IF(I24&lt;&gt;"",I24,IF(G24&lt;&gt;"",MAX(DraftMin,DraftK*G24),""))</f>
        <v/>
      </c>
      <c r="M24" s="2">
        <f>IF(J24&lt;&gt;"",J24*GT_disp,IF(AND(G24&lt;&gt;"",H24&lt;&gt;"",L24&lt;&gt;""),G24*H24*L24*Cb*Rho_sw,""))</f>
        <v/>
      </c>
      <c r="N24" s="2">
        <f>IF(F24="","",IF(AND(M24&lt;&gt;"",E24&lt;&gt;""),MIN(M24^(2/3)*F24^3/C_adm,E24*HP_kW*Load),IF(M24&lt;&gt;"",M24^(2/3)*F24^3/C_adm,IF(E24&lt;&gt;"",E24*HP_kW*Load,""))))</f>
        <v/>
      </c>
      <c r="O24" s="2">
        <f>IF(N24="","",N24*BSFC/Rho_fuel)</f>
        <v/>
      </c>
      <c r="P24" s="2">
        <f>IF(OR(O24="",F24=""),"",O24/F24)</f>
        <v/>
      </c>
      <c r="Q24" s="2">
        <f>IF(OR(P24="",D24=""),"",P24/D24)</f>
        <v/>
      </c>
      <c r="R24" s="2">
        <f>IF(K24&lt;&gt;"",K24,RepRoutePerDay)</f>
        <v/>
      </c>
      <c r="S24" s="2">
        <f>IF(Q24="","",ROUND(Q24*R24,1))</f>
        <v/>
      </c>
      <c r="T24" s="2">
        <f>IF(E24="",PenEngine,1)*IF(G24="",PenMissing,1)*IF(F24="",PenMissing,1)*IF(D24="",PenMissing,1)</f>
        <v/>
      </c>
      <c r="U24" s="2">
        <f>IFERROR(IF(S24="","",100*(MAX($S$2:$S$127)-S24)/(MAX($S$2:$S$127)-MIN($S$2:$S$127))),"")</f>
        <v/>
      </c>
      <c r="V24" s="2">
        <f>IF(U24="","",ROUND(U24*T24,1))</f>
        <v/>
      </c>
      <c r="W24" t="inlineStr">
        <is>
          <t>missing_price_per_day</t>
        </is>
      </c>
    </row>
    <row r="25">
      <c r="A25" s="2">
        <f>IF(V25="","",RANK(V25,$V$2:$V$127))</f>
        <v/>
      </c>
      <c r="B25" t="inlineStr">
        <is>
          <t>Isabela Ii</t>
        </is>
      </c>
      <c r="C25" t="inlineStr">
        <is>
          <t>Ship</t>
        </is>
      </c>
      <c r="D25" s="3" t="n">
        <v>40</v>
      </c>
      <c r="E25" s="3" t="n">
        <v>1800</v>
      </c>
      <c r="F25" s="3" t="n">
        <v>12</v>
      </c>
      <c r="G25" s="3" t="n">
        <v>38</v>
      </c>
      <c r="H25" s="3" t="n">
        <v>12</v>
      </c>
      <c r="I25" s="3" t="n"/>
      <c r="J25" s="3" t="n"/>
      <c r="K25" s="3" t="n">
        <v>31.1</v>
      </c>
      <c r="L25" s="2">
        <f>IF(I25&lt;&gt;"",I25,IF(G25&lt;&gt;"",MAX(DraftMin,DraftK*G25),""))</f>
        <v/>
      </c>
      <c r="M25" s="2">
        <f>IF(J25&lt;&gt;"",J25*GT_disp,IF(AND(G25&lt;&gt;"",H25&lt;&gt;"",L25&lt;&gt;""),G25*H25*L25*Cb*Rho_sw,""))</f>
        <v/>
      </c>
      <c r="N25" s="2">
        <f>IF(F25="","",IF(AND(M25&lt;&gt;"",E25&lt;&gt;""),MIN(M25^(2/3)*F25^3/C_adm,E25*HP_kW*Load),IF(M25&lt;&gt;"",M25^(2/3)*F25^3/C_adm,IF(E25&lt;&gt;"",E25*HP_kW*Load,""))))</f>
        <v/>
      </c>
      <c r="O25" s="2">
        <f>IF(N25="","",N25*BSFC/Rho_fuel)</f>
        <v/>
      </c>
      <c r="P25" s="2">
        <f>IF(OR(O25="",F25=""),"",O25/F25)</f>
        <v/>
      </c>
      <c r="Q25" s="2">
        <f>IF(OR(P25="",D25=""),"",P25/D25)</f>
        <v/>
      </c>
      <c r="R25" s="2">
        <f>IF(K25&lt;&gt;"",K25,RepRoutePerDay)</f>
        <v/>
      </c>
      <c r="S25" s="2">
        <f>IF(Q25="","",ROUND(Q25*R25,1))</f>
        <v/>
      </c>
      <c r="T25" s="2">
        <f>IF(E25="",PenEngine,1)*IF(G25="",PenMissing,1)*IF(F25="",PenMissing,1)*IF(D25="",PenMissing,1)</f>
        <v/>
      </c>
      <c r="U25" s="2">
        <f>IFERROR(IF(S25="","",100*(MAX($S$2:$S$127)-S25)/(MAX($S$2:$S$127)-MIN($S$2:$S$127))),"")</f>
        <v/>
      </c>
      <c r="V25" s="2">
        <f>IF(U25="","",ROUND(U25*T25,1))</f>
        <v/>
      </c>
      <c r="W25" t="inlineStr"/>
    </row>
    <row r="26">
      <c r="A26" s="2">
        <f>IF(V26="","",RANK(V26,$V$2:$V$127))</f>
        <v/>
      </c>
      <c r="B26" t="inlineStr">
        <is>
          <t>Beagle</t>
        </is>
      </c>
      <c r="C26" t="inlineStr">
        <is>
          <t>Motorsailer</t>
        </is>
      </c>
      <c r="D26" s="3" t="n">
        <v>14</v>
      </c>
      <c r="E26" s="3" t="n">
        <v>470</v>
      </c>
      <c r="F26" s="3" t="n">
        <v>9</v>
      </c>
      <c r="G26" s="3" t="n">
        <v>32</v>
      </c>
      <c r="H26" s="3" t="n">
        <v>7</v>
      </c>
      <c r="I26" s="3" t="n"/>
      <c r="J26" s="3" t="n"/>
      <c r="K26" s="3" t="n"/>
      <c r="L26" s="2">
        <f>IF(I26&lt;&gt;"",I26,IF(G26&lt;&gt;"",MAX(DraftMin,DraftK*G26),""))</f>
        <v/>
      </c>
      <c r="M26" s="2">
        <f>IF(J26&lt;&gt;"",J26*GT_disp,IF(AND(G26&lt;&gt;"",H26&lt;&gt;"",L26&lt;&gt;""),G26*H26*L26*Cb*Rho_sw,""))</f>
        <v/>
      </c>
      <c r="N26" s="2">
        <f>IF(F26="","",IF(AND(M26&lt;&gt;"",E26&lt;&gt;""),MIN(M26^(2/3)*F26^3/C_adm,E26*HP_kW*Load),IF(M26&lt;&gt;"",M26^(2/3)*F26^3/C_adm,IF(E26&lt;&gt;"",E26*HP_kW*Load,""))))</f>
        <v/>
      </c>
      <c r="O26" s="2">
        <f>IF(N26="","",N26*BSFC/Rho_fuel)</f>
        <v/>
      </c>
      <c r="P26" s="2">
        <f>IF(OR(O26="",F26=""),"",O26/F26)</f>
        <v/>
      </c>
      <c r="Q26" s="2">
        <f>IF(OR(P26="",D26=""),"",P26/D26)</f>
        <v/>
      </c>
      <c r="R26" s="2">
        <f>IF(K26&lt;&gt;"",K26,RepRoutePerDay)</f>
        <v/>
      </c>
      <c r="S26" s="2">
        <f>IF(Q26="","",ROUND(Q26*R26,1))</f>
        <v/>
      </c>
      <c r="T26" s="2">
        <f>IF(E26="",PenEngine,1)*IF(G26="",PenMissing,1)*IF(F26="",PenMissing,1)*IF(D26="",PenMissing,1)</f>
        <v/>
      </c>
      <c r="U26" s="2">
        <f>IFERROR(IF(S26="","",100*(MAX($S$2:$S$127)-S26)/(MAX($S$2:$S$127)-MIN($S$2:$S$127))),"")</f>
        <v/>
      </c>
      <c r="V26" s="2">
        <f>IF(U26="","",ROUND(U26*T26,1))</f>
        <v/>
      </c>
      <c r="W26" t="inlineStr">
        <is>
          <t>missing_price_per_day</t>
        </is>
      </c>
    </row>
    <row r="27">
      <c r="A27" s="2">
        <f>IF(V27="","",RANK(V27,$V$2:$V$127))</f>
        <v/>
      </c>
      <c r="B27" t="inlineStr">
        <is>
          <t>Integrity</t>
        </is>
      </c>
      <c r="C27" t="inlineStr">
        <is>
          <t>Yacht</t>
        </is>
      </c>
      <c r="D27" s="3" t="n">
        <v>16</v>
      </c>
      <c r="E27" s="3" t="n"/>
      <c r="F27" s="3" t="n">
        <v>12</v>
      </c>
      <c r="G27" s="3" t="n">
        <v>43</v>
      </c>
      <c r="H27" s="3" t="n">
        <v>3</v>
      </c>
      <c r="I27" s="3" t="n">
        <v>2.1</v>
      </c>
      <c r="J27" s="3" t="n"/>
      <c r="K27" s="3" t="n">
        <v>35.6</v>
      </c>
      <c r="L27" s="2">
        <f>IF(I27&lt;&gt;"",I27,IF(G27&lt;&gt;"",MAX(DraftMin,DraftK*G27),""))</f>
        <v/>
      </c>
      <c r="M27" s="2">
        <f>IF(J27&lt;&gt;"",J27*GT_disp,IF(AND(G27&lt;&gt;"",H27&lt;&gt;"",L27&lt;&gt;""),G27*H27*L27*Cb*Rho_sw,""))</f>
        <v/>
      </c>
      <c r="N27" s="2">
        <f>IF(F27="","",IF(AND(M27&lt;&gt;"",E27&lt;&gt;""),MIN(M27^(2/3)*F27^3/C_adm,E27*HP_kW*Load),IF(M27&lt;&gt;"",M27^(2/3)*F27^3/C_adm,IF(E27&lt;&gt;"",E27*HP_kW*Load,""))))</f>
        <v/>
      </c>
      <c r="O27" s="2">
        <f>IF(N27="","",N27*BSFC/Rho_fuel)</f>
        <v/>
      </c>
      <c r="P27" s="2">
        <f>IF(OR(O27="",F27=""),"",O27/F27)</f>
        <v/>
      </c>
      <c r="Q27" s="2">
        <f>IF(OR(P27="",D27=""),"",P27/D27)</f>
        <v/>
      </c>
      <c r="R27" s="2">
        <f>IF(K27&lt;&gt;"",K27,RepRoutePerDay)</f>
        <v/>
      </c>
      <c r="S27" s="2">
        <f>IF(Q27="","",ROUND(Q27*R27,1))</f>
        <v/>
      </c>
      <c r="T27" s="2">
        <f>IF(E27="",PenEngine,1)*IF(G27="",PenMissing,1)*IF(F27="",PenMissing,1)*IF(D27="",PenMissing,1)</f>
        <v/>
      </c>
      <c r="U27" s="2">
        <f>IFERROR(IF(S27="","",100*(MAX($S$2:$S$127)-S27)/(MAX($S$2:$S$127)-MIN($S$2:$S$127))),"")</f>
        <v/>
      </c>
      <c r="V27" s="2">
        <f>IF(U27="","",ROUND(U27*T27,1))</f>
        <v/>
      </c>
      <c r="W27" t="inlineStr">
        <is>
          <t>missing_crew_count, missing_price_per_day</t>
        </is>
      </c>
    </row>
    <row r="28">
      <c r="A28" s="2">
        <f>IF(V28="","",RANK(V28,$V$2:$V$127))</f>
        <v/>
      </c>
      <c r="B28" t="inlineStr">
        <is>
          <t>Nemo Iii</t>
        </is>
      </c>
      <c r="C28" t="inlineStr">
        <is>
          <t>Catamaran</t>
        </is>
      </c>
      <c r="D28" s="3" t="n">
        <v>16</v>
      </c>
      <c r="E28" s="3" t="n">
        <v>250</v>
      </c>
      <c r="F28" s="3" t="n">
        <v>9</v>
      </c>
      <c r="G28" s="3" t="n">
        <v>23</v>
      </c>
      <c r="H28" s="3" t="n"/>
      <c r="I28" s="3" t="n">
        <v>1.5</v>
      </c>
      <c r="J28" s="3" t="n"/>
      <c r="K28" s="3" t="n">
        <v>33.7</v>
      </c>
      <c r="L28" s="2">
        <f>IF(I28&lt;&gt;"",I28,IF(G28&lt;&gt;"",MAX(DraftMin,DraftK*G28),""))</f>
        <v/>
      </c>
      <c r="M28" s="2">
        <f>IF(J28&lt;&gt;"",J28*GT_disp,IF(AND(G28&lt;&gt;"",H28&lt;&gt;"",L28&lt;&gt;""),G28*H28*L28*Cb*Rho_sw,""))</f>
        <v/>
      </c>
      <c r="N28" s="2">
        <f>IF(F28="","",IF(AND(M28&lt;&gt;"",E28&lt;&gt;""),MIN(M28^(2/3)*F28^3/C_adm,E28*HP_kW*Load),IF(M28&lt;&gt;"",M28^(2/3)*F28^3/C_adm,IF(E28&lt;&gt;"",E28*HP_kW*Load,""))))</f>
        <v/>
      </c>
      <c r="O28" s="2">
        <f>IF(N28="","",N28*BSFC/Rho_fuel)</f>
        <v/>
      </c>
      <c r="P28" s="2">
        <f>IF(OR(O28="",F28=""),"",O28/F28)</f>
        <v/>
      </c>
      <c r="Q28" s="2">
        <f>IF(OR(P28="",D28=""),"",P28/D28)</f>
        <v/>
      </c>
      <c r="R28" s="2">
        <f>IF(K28&lt;&gt;"",K28,RepRoutePerDay)</f>
        <v/>
      </c>
      <c r="S28" s="2">
        <f>IF(Q28="","",ROUND(Q28*R28,1))</f>
        <v/>
      </c>
      <c r="T28" s="2">
        <f>IF(E28="",PenEngine,1)*IF(G28="",PenMissing,1)*IF(F28="",PenMissing,1)*IF(D28="",PenMissing,1)</f>
        <v/>
      </c>
      <c r="U28" s="2">
        <f>IFERROR(IF(S28="","",100*(MAX($S$2:$S$127)-S28)/(MAX($S$2:$S$127)-MIN($S$2:$S$127))),"")</f>
        <v/>
      </c>
      <c r="V28" s="2">
        <f>IF(U28="","",ROUND(U28*T28,1))</f>
        <v/>
      </c>
      <c r="W28" t="inlineStr">
        <is>
          <t>missing_beam_m</t>
        </is>
      </c>
    </row>
    <row r="29">
      <c r="A29" s="2">
        <f>IF(V29="","",RANK(V29,$V$2:$V$127))</f>
        <v/>
      </c>
      <c r="B29" t="inlineStr">
        <is>
          <t>Celebrity Flora</t>
        </is>
      </c>
      <c r="C29" t="inlineStr">
        <is>
          <t>Ship</t>
        </is>
      </c>
      <c r="D29" s="3" t="n">
        <v>100</v>
      </c>
      <c r="E29" s="3" t="n"/>
      <c r="F29" s="3" t="n">
        <v>10</v>
      </c>
      <c r="G29" s="3" t="n">
        <v>101.5</v>
      </c>
      <c r="H29" s="3" t="n">
        <v>17</v>
      </c>
      <c r="I29" s="3" t="n">
        <v>4.5</v>
      </c>
      <c r="J29" s="3" t="n"/>
      <c r="K29" s="3" t="n"/>
      <c r="L29" s="2">
        <f>IF(I29&lt;&gt;"",I29,IF(G29&lt;&gt;"",MAX(DraftMin,DraftK*G29),""))</f>
        <v/>
      </c>
      <c r="M29" s="2">
        <f>IF(J29&lt;&gt;"",J29*GT_disp,IF(AND(G29&lt;&gt;"",H29&lt;&gt;"",L29&lt;&gt;""),G29*H29*L29*Cb*Rho_sw,""))</f>
        <v/>
      </c>
      <c r="N29" s="2">
        <f>IF(F29="","",IF(AND(M29&lt;&gt;"",E29&lt;&gt;""),MIN(M29^(2/3)*F29^3/C_adm,E29*HP_kW*Load),IF(M29&lt;&gt;"",M29^(2/3)*F29^3/C_adm,IF(E29&lt;&gt;"",E29*HP_kW*Load,""))))</f>
        <v/>
      </c>
      <c r="O29" s="2">
        <f>IF(N29="","",N29*BSFC/Rho_fuel)</f>
        <v/>
      </c>
      <c r="P29" s="2">
        <f>IF(OR(O29="",F29=""),"",O29/F29)</f>
        <v/>
      </c>
      <c r="Q29" s="2">
        <f>IF(OR(P29="",D29=""),"",P29/D29)</f>
        <v/>
      </c>
      <c r="R29" s="2">
        <f>IF(K29&lt;&gt;"",K29,RepRoutePerDay)</f>
        <v/>
      </c>
      <c r="S29" s="2">
        <f>IF(Q29="","",ROUND(Q29*R29,1))</f>
        <v/>
      </c>
      <c r="T29" s="2">
        <f>IF(E29="",PenEngine,1)*IF(G29="",PenMissing,1)*IF(F29="",PenMissing,1)*IF(D29="",PenMissing,1)</f>
        <v/>
      </c>
      <c r="U29" s="2">
        <f>IFERROR(IF(S29="","",100*(MAX($S$2:$S$127)-S29)/(MAX($S$2:$S$127)-MIN($S$2:$S$127))),"")</f>
        <v/>
      </c>
      <c r="V29" s="2">
        <f>IF(U29="","",ROUND(U29*T29,1))</f>
        <v/>
      </c>
      <c r="W29" t="inlineStr">
        <is>
          <t>length_ft_m_mismatch, missing_price_per_day</t>
        </is>
      </c>
    </row>
    <row r="30">
      <c r="A30" s="2">
        <f>IF(V30="","",RANK(V30,$V$2:$V$127))</f>
        <v/>
      </c>
      <c r="B30" t="inlineStr">
        <is>
          <t>Monique</t>
        </is>
      </c>
      <c r="C30" t="inlineStr">
        <is>
          <t>Catamaran</t>
        </is>
      </c>
      <c r="D30" s="3" t="n">
        <v>16</v>
      </c>
      <c r="E30" s="3" t="n"/>
      <c r="F30" s="3" t="n">
        <v>12</v>
      </c>
      <c r="G30" s="3" t="n">
        <v>12.8</v>
      </c>
      <c r="H30" s="3" t="n">
        <v>9</v>
      </c>
      <c r="I30" s="3" t="n">
        <v>2.5</v>
      </c>
      <c r="J30" s="3" t="n"/>
      <c r="K30" s="3" t="n"/>
      <c r="L30" s="2">
        <f>IF(I30&lt;&gt;"",I30,IF(G30&lt;&gt;"",MAX(DraftMin,DraftK*G30),""))</f>
        <v/>
      </c>
      <c r="M30" s="2">
        <f>IF(J30&lt;&gt;"",J30*GT_disp,IF(AND(G30&lt;&gt;"",H30&lt;&gt;"",L30&lt;&gt;""),G30*H30*L30*Cb*Rho_sw,""))</f>
        <v/>
      </c>
      <c r="N30" s="2">
        <f>IF(F30="","",IF(AND(M30&lt;&gt;"",E30&lt;&gt;""),MIN(M30^(2/3)*F30^3/C_adm,E30*HP_kW*Load),IF(M30&lt;&gt;"",M30^(2/3)*F30^3/C_adm,IF(E30&lt;&gt;"",E30*HP_kW*Load,""))))</f>
        <v/>
      </c>
      <c r="O30" s="2">
        <f>IF(N30="","",N30*BSFC/Rho_fuel)</f>
        <v/>
      </c>
      <c r="P30" s="2">
        <f>IF(OR(O30="",F30=""),"",O30/F30)</f>
        <v/>
      </c>
      <c r="Q30" s="2">
        <f>IF(OR(P30="",D30=""),"",P30/D30)</f>
        <v/>
      </c>
      <c r="R30" s="2">
        <f>IF(K30&lt;&gt;"",K30,RepRoutePerDay)</f>
        <v/>
      </c>
      <c r="S30" s="2">
        <f>IF(Q30="","",ROUND(Q30*R30,1))</f>
        <v/>
      </c>
      <c r="T30" s="2">
        <f>IF(E30="",PenEngine,1)*IF(G30="",PenMissing,1)*IF(F30="",PenMissing,1)*IF(D30="",PenMissing,1)</f>
        <v/>
      </c>
      <c r="U30" s="2">
        <f>IFERROR(IF(S30="","",100*(MAX($S$2:$S$127)-S30)/(MAX($S$2:$S$127)-MIN($S$2:$S$127))),"")</f>
        <v/>
      </c>
      <c r="V30" s="2">
        <f>IF(U30="","",ROUND(U30*T30,1))</f>
        <v/>
      </c>
      <c r="W30" t="inlineStr">
        <is>
          <t>length_ft_m_mismatch, no_engine_data</t>
        </is>
      </c>
    </row>
    <row r="31">
      <c r="A31" s="2">
        <f>IF(V31="","",RANK(V31,$V$2:$V$127))</f>
        <v/>
      </c>
      <c r="B31" t="inlineStr">
        <is>
          <t>Origin, Theory &amp; Evolve</t>
        </is>
      </c>
      <c r="C31" t="inlineStr">
        <is>
          <t>Yacht</t>
        </is>
      </c>
      <c r="D31" s="3" t="n">
        <v>20</v>
      </c>
      <c r="E31" s="3" t="n">
        <v>454</v>
      </c>
      <c r="F31" s="3" t="n">
        <v>12</v>
      </c>
      <c r="G31" s="3" t="n"/>
      <c r="H31" s="3" t="n"/>
      <c r="I31" s="3" t="n"/>
      <c r="J31" s="3" t="n"/>
      <c r="K31" s="3" t="n">
        <v>31.5</v>
      </c>
      <c r="L31" s="2">
        <f>IF(I31&lt;&gt;"",I31,IF(G31&lt;&gt;"",MAX(DraftMin,DraftK*G31),""))</f>
        <v/>
      </c>
      <c r="M31" s="2">
        <f>IF(J31&lt;&gt;"",J31*GT_disp,IF(AND(G31&lt;&gt;"",H31&lt;&gt;"",L31&lt;&gt;""),G31*H31*L31*Cb*Rho_sw,""))</f>
        <v/>
      </c>
      <c r="N31" s="2">
        <f>IF(F31="","",IF(AND(M31&lt;&gt;"",E31&lt;&gt;""),MIN(M31^(2/3)*F31^3/C_adm,E31*HP_kW*Load),IF(M31&lt;&gt;"",M31^(2/3)*F31^3/C_adm,IF(E31&lt;&gt;"",E31*HP_kW*Load,""))))</f>
        <v/>
      </c>
      <c r="O31" s="2">
        <f>IF(N31="","",N31*BSFC/Rho_fuel)</f>
        <v/>
      </c>
      <c r="P31" s="2">
        <f>IF(OR(O31="",F31=""),"",O31/F31)</f>
        <v/>
      </c>
      <c r="Q31" s="2">
        <f>IF(OR(P31="",D31=""),"",P31/D31)</f>
        <v/>
      </c>
      <c r="R31" s="2">
        <f>IF(K31&lt;&gt;"",K31,RepRoutePerDay)</f>
        <v/>
      </c>
      <c r="S31" s="2">
        <f>IF(Q31="","",ROUND(Q31*R31,1))</f>
        <v/>
      </c>
      <c r="T31" s="2">
        <f>IF(E31="",PenEngine,1)*IF(G31="",PenMissing,1)*IF(F31="",PenMissing,1)*IF(D31="",PenMissing,1)</f>
        <v/>
      </c>
      <c r="U31" s="2">
        <f>IFERROR(IF(S31="","",100*(MAX($S$2:$S$127)-S31)/(MAX($S$2:$S$127)-MIN($S$2:$S$127))),"")</f>
        <v/>
      </c>
      <c r="V31" s="2">
        <f>IF(U31="","",ROUND(U31*T31,1))</f>
        <v/>
      </c>
      <c r="W31" t="inlineStr">
        <is>
          <t>length_ft_m_mismatch, missing_length_m, missing_beam_m, missing_crew_count, missing_price_per_day</t>
        </is>
      </c>
    </row>
    <row r="32">
      <c r="A32" s="2">
        <f>IF(V32="","",RANK(V32,$V$2:$V$127))</f>
        <v/>
      </c>
      <c r="B32" t="inlineStr">
        <is>
          <t>Coral I&amp;ii</t>
        </is>
      </c>
      <c r="C32" t="inlineStr">
        <is>
          <t>Yacht</t>
        </is>
      </c>
      <c r="D32" s="3" t="n">
        <v>36</v>
      </c>
      <c r="E32" s="3" t="n">
        <v>1220</v>
      </c>
      <c r="F32" s="3" t="n">
        <v>12</v>
      </c>
      <c r="G32" s="3" t="n">
        <v>40</v>
      </c>
      <c r="H32" s="3" t="n">
        <v>9</v>
      </c>
      <c r="I32" s="3" t="n"/>
      <c r="J32" s="3" t="n"/>
      <c r="K32" s="3" t="n"/>
      <c r="L32" s="2">
        <f>IF(I32&lt;&gt;"",I32,IF(G32&lt;&gt;"",MAX(DraftMin,DraftK*G32),""))</f>
        <v/>
      </c>
      <c r="M32" s="2">
        <f>IF(J32&lt;&gt;"",J32*GT_disp,IF(AND(G32&lt;&gt;"",H32&lt;&gt;"",L32&lt;&gt;""),G32*H32*L32*Cb*Rho_sw,""))</f>
        <v/>
      </c>
      <c r="N32" s="2">
        <f>IF(F32="","",IF(AND(M32&lt;&gt;"",E32&lt;&gt;""),MIN(M32^(2/3)*F32^3/C_adm,E32*HP_kW*Load),IF(M32&lt;&gt;"",M32^(2/3)*F32^3/C_adm,IF(E32&lt;&gt;"",E32*HP_kW*Load,""))))</f>
        <v/>
      </c>
      <c r="O32" s="2">
        <f>IF(N32="","",N32*BSFC/Rho_fuel)</f>
        <v/>
      </c>
      <c r="P32" s="2">
        <f>IF(OR(O32="",F32=""),"",O32/F32)</f>
        <v/>
      </c>
      <c r="Q32" s="2">
        <f>IF(OR(P32="",D32=""),"",P32/D32)</f>
        <v/>
      </c>
      <c r="R32" s="2">
        <f>IF(K32&lt;&gt;"",K32,RepRoutePerDay)</f>
        <v/>
      </c>
      <c r="S32" s="2">
        <f>IF(Q32="","",ROUND(Q32*R32,1))</f>
        <v/>
      </c>
      <c r="T32" s="2">
        <f>IF(E32="",PenEngine,1)*IF(G32="",PenMissing,1)*IF(F32="",PenMissing,1)*IF(D32="",PenMissing,1)</f>
        <v/>
      </c>
      <c r="U32" s="2">
        <f>IFERROR(IF(S32="","",100*(MAX($S$2:$S$127)-S32)/(MAX($S$2:$S$127)-MIN($S$2:$S$127))),"")</f>
        <v/>
      </c>
      <c r="V32" s="2">
        <f>IF(U32="","",ROUND(U32*T32,1))</f>
        <v/>
      </c>
      <c r="W32" t="inlineStr"/>
    </row>
    <row r="33">
      <c r="A33" s="2">
        <f>IF(V33="","",RANK(V33,$V$2:$V$127))</f>
        <v/>
      </c>
      <c r="B33" t="inlineStr">
        <is>
          <t>Anali</t>
        </is>
      </c>
      <c r="C33" t="inlineStr">
        <is>
          <t>Motor Catamaran</t>
        </is>
      </c>
      <c r="D33" s="3" t="n">
        <v>16</v>
      </c>
      <c r="E33" s="3" t="n"/>
      <c r="F33" s="3" t="n">
        <v>10</v>
      </c>
      <c r="G33" s="3" t="n">
        <v>27</v>
      </c>
      <c r="H33" s="3" t="n">
        <v>11</v>
      </c>
      <c r="I33" s="3" t="n"/>
      <c r="J33" s="3" t="n"/>
      <c r="K33" s="3" t="n"/>
      <c r="L33" s="2">
        <f>IF(I33&lt;&gt;"",I33,IF(G33&lt;&gt;"",MAX(DraftMin,DraftK*G33),""))</f>
        <v/>
      </c>
      <c r="M33" s="2">
        <f>IF(J33&lt;&gt;"",J33*GT_disp,IF(AND(G33&lt;&gt;"",H33&lt;&gt;"",L33&lt;&gt;""),G33*H33*L33*Cb*Rho_sw,""))</f>
        <v/>
      </c>
      <c r="N33" s="2">
        <f>IF(F33="","",IF(AND(M33&lt;&gt;"",E33&lt;&gt;""),MIN(M33^(2/3)*F33^3/C_adm,E33*HP_kW*Load),IF(M33&lt;&gt;"",M33^(2/3)*F33^3/C_adm,IF(E33&lt;&gt;"",E33*HP_kW*Load,""))))</f>
        <v/>
      </c>
      <c r="O33" s="2">
        <f>IF(N33="","",N33*BSFC/Rho_fuel)</f>
        <v/>
      </c>
      <c r="P33" s="2">
        <f>IF(OR(O33="",F33=""),"",O33/F33)</f>
        <v/>
      </c>
      <c r="Q33" s="2">
        <f>IF(OR(P33="",D33=""),"",P33/D33)</f>
        <v/>
      </c>
      <c r="R33" s="2">
        <f>IF(K33&lt;&gt;"",K33,RepRoutePerDay)</f>
        <v/>
      </c>
      <c r="S33" s="2">
        <f>IF(Q33="","",ROUND(Q33*R33,1))</f>
        <v/>
      </c>
      <c r="T33" s="2">
        <f>IF(E33="",PenEngine,1)*IF(G33="",PenMissing,1)*IF(F33="",PenMissing,1)*IF(D33="",PenMissing,1)</f>
        <v/>
      </c>
      <c r="U33" s="2">
        <f>IFERROR(IF(S33="","",100*(MAX($S$2:$S$127)-S33)/(MAX($S$2:$S$127)-MIN($S$2:$S$127))),"")</f>
        <v/>
      </c>
      <c r="V33" s="2">
        <f>IF(U33="","",ROUND(U33*T33,1))</f>
        <v/>
      </c>
      <c r="W33" t="inlineStr">
        <is>
          <t>no_engine_data, missing_crew_count, missing_price_per_day</t>
        </is>
      </c>
    </row>
    <row r="34">
      <c r="A34" s="2">
        <f>IF(V34="","",RANK(V34,$V$2:$V$127))</f>
        <v/>
      </c>
      <c r="B34" t="inlineStr">
        <is>
          <t>Archipel I</t>
        </is>
      </c>
      <c r="C34" t="inlineStr">
        <is>
          <t>Catamaran</t>
        </is>
      </c>
      <c r="D34" s="3" t="n">
        <v>16</v>
      </c>
      <c r="E34" s="3" t="n"/>
      <c r="F34" s="3" t="n">
        <v>10</v>
      </c>
      <c r="G34" s="3" t="n">
        <v>27</v>
      </c>
      <c r="H34" s="3" t="n">
        <v>11</v>
      </c>
      <c r="I34" s="3" t="n"/>
      <c r="J34" s="3" t="n"/>
      <c r="K34" s="3" t="n"/>
      <c r="L34" s="2">
        <f>IF(I34&lt;&gt;"",I34,IF(G34&lt;&gt;"",MAX(DraftMin,DraftK*G34),""))</f>
        <v/>
      </c>
      <c r="M34" s="2">
        <f>IF(J34&lt;&gt;"",J34*GT_disp,IF(AND(G34&lt;&gt;"",H34&lt;&gt;"",L34&lt;&gt;""),G34*H34*L34*Cb*Rho_sw,""))</f>
        <v/>
      </c>
      <c r="N34" s="2">
        <f>IF(F34="","",IF(AND(M34&lt;&gt;"",E34&lt;&gt;""),MIN(M34^(2/3)*F34^3/C_adm,E34*HP_kW*Load),IF(M34&lt;&gt;"",M34^(2/3)*F34^3/C_adm,IF(E34&lt;&gt;"",E34*HP_kW*Load,""))))</f>
        <v/>
      </c>
      <c r="O34" s="2">
        <f>IF(N34="","",N34*BSFC/Rho_fuel)</f>
        <v/>
      </c>
      <c r="P34" s="2">
        <f>IF(OR(O34="",F34=""),"",O34/F34)</f>
        <v/>
      </c>
      <c r="Q34" s="2">
        <f>IF(OR(P34="",D34=""),"",P34/D34)</f>
        <v/>
      </c>
      <c r="R34" s="2">
        <f>IF(K34&lt;&gt;"",K34,RepRoutePerDay)</f>
        <v/>
      </c>
      <c r="S34" s="2">
        <f>IF(Q34="","",ROUND(Q34*R34,1))</f>
        <v/>
      </c>
      <c r="T34" s="2">
        <f>IF(E34="",PenEngine,1)*IF(G34="",PenMissing,1)*IF(F34="",PenMissing,1)*IF(D34="",PenMissing,1)</f>
        <v/>
      </c>
      <c r="U34" s="2">
        <f>IFERROR(IF(S34="","",100*(MAX($S$2:$S$127)-S34)/(MAX($S$2:$S$127)-MIN($S$2:$S$127))),"")</f>
        <v/>
      </c>
      <c r="V34" s="2">
        <f>IF(U34="","",ROUND(U34*T34,1))</f>
        <v/>
      </c>
      <c r="W34" t="inlineStr"/>
    </row>
    <row r="35">
      <c r="A35" s="2">
        <f>IF(V35="","",RANK(V35,$V$2:$V$127))</f>
        <v/>
      </c>
      <c r="B35" t="inlineStr">
        <is>
          <t>Galapagos Master</t>
        </is>
      </c>
      <c r="C35" t="inlineStr">
        <is>
          <t>Yacht</t>
        </is>
      </c>
      <c r="D35" s="3" t="n">
        <v>16</v>
      </c>
      <c r="E35" s="3" t="n">
        <v>1080</v>
      </c>
      <c r="F35" s="3" t="n">
        <v>10</v>
      </c>
      <c r="G35" s="3" t="n">
        <v>32</v>
      </c>
      <c r="H35" s="3" t="n">
        <v>8</v>
      </c>
      <c r="I35" s="3" t="n"/>
      <c r="J35" s="3" t="n"/>
      <c r="K35" s="3" t="n"/>
      <c r="L35" s="2">
        <f>IF(I35&lt;&gt;"",I35,IF(G35&lt;&gt;"",MAX(DraftMin,DraftK*G35),""))</f>
        <v/>
      </c>
      <c r="M35" s="2">
        <f>IF(J35&lt;&gt;"",J35*GT_disp,IF(AND(G35&lt;&gt;"",H35&lt;&gt;"",L35&lt;&gt;""),G35*H35*L35*Cb*Rho_sw,""))</f>
        <v/>
      </c>
      <c r="N35" s="2">
        <f>IF(F35="","",IF(AND(M35&lt;&gt;"",E35&lt;&gt;""),MIN(M35^(2/3)*F35^3/C_adm,E35*HP_kW*Load),IF(M35&lt;&gt;"",M35^(2/3)*F35^3/C_adm,IF(E35&lt;&gt;"",E35*HP_kW*Load,""))))</f>
        <v/>
      </c>
      <c r="O35" s="2">
        <f>IF(N35="","",N35*BSFC/Rho_fuel)</f>
        <v/>
      </c>
      <c r="P35" s="2">
        <f>IF(OR(O35="",F35=""),"",O35/F35)</f>
        <v/>
      </c>
      <c r="Q35" s="2">
        <f>IF(OR(P35="",D35=""),"",P35/D35)</f>
        <v/>
      </c>
      <c r="R35" s="2">
        <f>IF(K35&lt;&gt;"",K35,RepRoutePerDay)</f>
        <v/>
      </c>
      <c r="S35" s="2">
        <f>IF(Q35="","",ROUND(Q35*R35,1))</f>
        <v/>
      </c>
      <c r="T35" s="2">
        <f>IF(E35="",PenEngine,1)*IF(G35="",PenMissing,1)*IF(F35="",PenMissing,1)*IF(D35="",PenMissing,1)</f>
        <v/>
      </c>
      <c r="U35" s="2">
        <f>IFERROR(IF(S35="","",100*(MAX($S$2:$S$127)-S35)/(MAX($S$2:$S$127)-MIN($S$2:$S$127))),"")</f>
        <v/>
      </c>
      <c r="V35" s="2">
        <f>IF(U35="","",ROUND(U35*T35,1))</f>
        <v/>
      </c>
      <c r="W35" t="inlineStr">
        <is>
          <t>missing_price_per_day</t>
        </is>
      </c>
    </row>
    <row r="36">
      <c r="A36" s="2">
        <f>IF(V36="","",RANK(V36,$V$2:$V$127))</f>
        <v/>
      </c>
      <c r="B36" t="inlineStr">
        <is>
          <t>Tribute</t>
        </is>
      </c>
      <c r="C36" t="inlineStr">
        <is>
          <t>Yacht</t>
        </is>
      </c>
      <c r="D36" s="3" t="n">
        <v>16</v>
      </c>
      <c r="E36" s="3" t="n">
        <v>400</v>
      </c>
      <c r="F36" s="3" t="n">
        <v>10</v>
      </c>
      <c r="G36" s="3" t="n">
        <v>43</v>
      </c>
      <c r="H36" s="3" t="n">
        <v>8</v>
      </c>
      <c r="I36" s="3" t="n">
        <v>1.8</v>
      </c>
      <c r="J36" s="3" t="n"/>
      <c r="K36" s="3" t="n"/>
      <c r="L36" s="2">
        <f>IF(I36&lt;&gt;"",I36,IF(G36&lt;&gt;"",MAX(DraftMin,DraftK*G36),""))</f>
        <v/>
      </c>
      <c r="M36" s="2">
        <f>IF(J36&lt;&gt;"",J36*GT_disp,IF(AND(G36&lt;&gt;"",H36&lt;&gt;"",L36&lt;&gt;""),G36*H36*L36*Cb*Rho_sw,""))</f>
        <v/>
      </c>
      <c r="N36" s="2">
        <f>IF(F36="","",IF(AND(M36&lt;&gt;"",E36&lt;&gt;""),MIN(M36^(2/3)*F36^3/C_adm,E36*HP_kW*Load),IF(M36&lt;&gt;"",M36^(2/3)*F36^3/C_adm,IF(E36&lt;&gt;"",E36*HP_kW*Load,""))))</f>
        <v/>
      </c>
      <c r="O36" s="2">
        <f>IF(N36="","",N36*BSFC/Rho_fuel)</f>
        <v/>
      </c>
      <c r="P36" s="2">
        <f>IF(OR(O36="",F36=""),"",O36/F36)</f>
        <v/>
      </c>
      <c r="Q36" s="2">
        <f>IF(OR(P36="",D36=""),"",P36/D36)</f>
        <v/>
      </c>
      <c r="R36" s="2">
        <f>IF(K36&lt;&gt;"",K36,RepRoutePerDay)</f>
        <v/>
      </c>
      <c r="S36" s="2">
        <f>IF(Q36="","",ROUND(Q36*R36,1))</f>
        <v/>
      </c>
      <c r="T36" s="2">
        <f>IF(E36="",PenEngine,1)*IF(G36="",PenMissing,1)*IF(F36="",PenMissing,1)*IF(D36="",PenMissing,1)</f>
        <v/>
      </c>
      <c r="U36" s="2">
        <f>IFERROR(IF(S36="","",100*(MAX($S$2:$S$127)-S36)/(MAX($S$2:$S$127)-MIN($S$2:$S$127))),"")</f>
        <v/>
      </c>
      <c r="V36" s="2">
        <f>IF(U36="","",ROUND(U36*T36,1))</f>
        <v/>
      </c>
      <c r="W36" t="inlineStr">
        <is>
          <t>missing_price_per_day</t>
        </is>
      </c>
    </row>
    <row r="37">
      <c r="A37" s="2">
        <f>IF(V37="","",RANK(V37,$V$2:$V$127))</f>
        <v/>
      </c>
      <c r="B37" t="inlineStr">
        <is>
          <t>Natural Paradise</t>
        </is>
      </c>
      <c r="C37" t="inlineStr">
        <is>
          <t>Yacht</t>
        </is>
      </c>
      <c r="D37" s="3" t="n">
        <v>16</v>
      </c>
      <c r="E37" s="3" t="n">
        <v>400</v>
      </c>
      <c r="F37" s="3" t="n">
        <v>14</v>
      </c>
      <c r="G37" s="3" t="n">
        <v>34</v>
      </c>
      <c r="H37" s="3" t="n">
        <v>8</v>
      </c>
      <c r="I37" s="3" t="n">
        <v>40</v>
      </c>
      <c r="J37" s="3" t="n"/>
      <c r="K37" s="3" t="n">
        <v>38.9</v>
      </c>
      <c r="L37" s="2">
        <f>IF(I37&lt;&gt;"",I37,IF(G37&lt;&gt;"",MAX(DraftMin,DraftK*G37),""))</f>
        <v/>
      </c>
      <c r="M37" s="2">
        <f>IF(J37&lt;&gt;"",J37*GT_disp,IF(AND(G37&lt;&gt;"",H37&lt;&gt;"",L37&lt;&gt;""),G37*H37*L37*Cb*Rho_sw,""))</f>
        <v/>
      </c>
      <c r="N37" s="2">
        <f>IF(F37="","",IF(AND(M37&lt;&gt;"",E37&lt;&gt;""),MIN(M37^(2/3)*F37^3/C_adm,E37*HP_kW*Load),IF(M37&lt;&gt;"",M37^(2/3)*F37^3/C_adm,IF(E37&lt;&gt;"",E37*HP_kW*Load,""))))</f>
        <v/>
      </c>
      <c r="O37" s="2">
        <f>IF(N37="","",N37*BSFC/Rho_fuel)</f>
        <v/>
      </c>
      <c r="P37" s="2">
        <f>IF(OR(O37="",F37=""),"",O37/F37)</f>
        <v/>
      </c>
      <c r="Q37" s="2">
        <f>IF(OR(P37="",D37=""),"",P37/D37)</f>
        <v/>
      </c>
      <c r="R37" s="2">
        <f>IF(K37&lt;&gt;"",K37,RepRoutePerDay)</f>
        <v/>
      </c>
      <c r="S37" s="2">
        <f>IF(Q37="","",ROUND(Q37*R37,1))</f>
        <v/>
      </c>
      <c r="T37" s="2">
        <f>IF(E37="",PenEngine,1)*IF(G37="",PenMissing,1)*IF(F37="",PenMissing,1)*IF(D37="",PenMissing,1)</f>
        <v/>
      </c>
      <c r="U37" s="2">
        <f>IFERROR(IF(S37="","",100*(MAX($S$2:$S$127)-S37)/(MAX($S$2:$S$127)-MIN($S$2:$S$127))),"")</f>
        <v/>
      </c>
      <c r="V37" s="2">
        <f>IF(U37="","",ROUND(U37*T37,1))</f>
        <v/>
      </c>
      <c r="W37" t="inlineStr"/>
    </row>
    <row r="38">
      <c r="A38" s="2">
        <f>IF(V38="","",RANK(V38,$V$2:$V$127))</f>
        <v/>
      </c>
      <c r="B38" t="inlineStr">
        <is>
          <t>Majestic Galápagos Diving Cruise</t>
        </is>
      </c>
      <c r="C38" t="inlineStr">
        <is>
          <t>Small Yacht</t>
        </is>
      </c>
      <c r="D38" s="3" t="n">
        <v>16</v>
      </c>
      <c r="E38" s="3" t="n"/>
      <c r="F38" s="3" t="n">
        <v>10</v>
      </c>
      <c r="G38" s="3" t="n">
        <v>36</v>
      </c>
      <c r="H38" s="3" t="n">
        <v>7</v>
      </c>
      <c r="I38" s="3" t="n"/>
      <c r="J38" s="3" t="n"/>
      <c r="K38" s="3" t="n"/>
      <c r="L38" s="2">
        <f>IF(I38&lt;&gt;"",I38,IF(G38&lt;&gt;"",MAX(DraftMin,DraftK*G38),""))</f>
        <v/>
      </c>
      <c r="M38" s="2">
        <f>IF(J38&lt;&gt;"",J38*GT_disp,IF(AND(G38&lt;&gt;"",H38&lt;&gt;"",L38&lt;&gt;""),G38*H38*L38*Cb*Rho_sw,""))</f>
        <v/>
      </c>
      <c r="N38" s="2">
        <f>IF(F38="","",IF(AND(M38&lt;&gt;"",E38&lt;&gt;""),MIN(M38^(2/3)*F38^3/C_adm,E38*HP_kW*Load),IF(M38&lt;&gt;"",M38^(2/3)*F38^3/C_adm,IF(E38&lt;&gt;"",E38*HP_kW*Load,""))))</f>
        <v/>
      </c>
      <c r="O38" s="2">
        <f>IF(N38="","",N38*BSFC/Rho_fuel)</f>
        <v/>
      </c>
      <c r="P38" s="2">
        <f>IF(OR(O38="",F38=""),"",O38/F38)</f>
        <v/>
      </c>
      <c r="Q38" s="2">
        <f>IF(OR(P38="",D38=""),"",P38/D38)</f>
        <v/>
      </c>
      <c r="R38" s="2">
        <f>IF(K38&lt;&gt;"",K38,RepRoutePerDay)</f>
        <v/>
      </c>
      <c r="S38" s="2">
        <f>IF(Q38="","",ROUND(Q38*R38,1))</f>
        <v/>
      </c>
      <c r="T38" s="2">
        <f>IF(E38="",PenEngine,1)*IF(G38="",PenMissing,1)*IF(F38="",PenMissing,1)*IF(D38="",PenMissing,1)</f>
        <v/>
      </c>
      <c r="U38" s="2">
        <f>IFERROR(IF(S38="","",100*(MAX($S$2:$S$127)-S38)/(MAX($S$2:$S$127)-MIN($S$2:$S$127))),"")</f>
        <v/>
      </c>
      <c r="V38" s="2">
        <f>IF(U38="","",ROUND(U38*T38,1))</f>
        <v/>
      </c>
      <c r="W38" t="inlineStr">
        <is>
          <t>no_engine_data, missing_crew_count, missing_price_per_day</t>
        </is>
      </c>
    </row>
    <row r="39">
      <c r="A39" s="2">
        <f>IF(V39="","",RANK(V39,$V$2:$V$127))</f>
        <v/>
      </c>
      <c r="B39" t="inlineStr">
        <is>
          <t>Calipso</t>
        </is>
      </c>
      <c r="C39" t="inlineStr">
        <is>
          <t>Yacht</t>
        </is>
      </c>
      <c r="D39" s="3" t="n">
        <v>16</v>
      </c>
      <c r="E39" s="3" t="n">
        <v>400</v>
      </c>
      <c r="F39" s="3" t="n">
        <v>12</v>
      </c>
      <c r="G39" s="3" t="n"/>
      <c r="H39" s="3" t="n">
        <v>5</v>
      </c>
      <c r="I39" s="3" t="n">
        <v>3</v>
      </c>
      <c r="J39" s="3" t="n"/>
      <c r="K39" s="3" t="n"/>
      <c r="L39" s="2">
        <f>IF(I39&lt;&gt;"",I39,IF(G39&lt;&gt;"",MAX(DraftMin,DraftK*G39),""))</f>
        <v/>
      </c>
      <c r="M39" s="2">
        <f>IF(J39&lt;&gt;"",J39*GT_disp,IF(AND(G39&lt;&gt;"",H39&lt;&gt;"",L39&lt;&gt;""),G39*H39*L39*Cb*Rho_sw,""))</f>
        <v/>
      </c>
      <c r="N39" s="2">
        <f>IF(F39="","",IF(AND(M39&lt;&gt;"",E39&lt;&gt;""),MIN(M39^(2/3)*F39^3/C_adm,E39*HP_kW*Load),IF(M39&lt;&gt;"",M39^(2/3)*F39^3/C_adm,IF(E39&lt;&gt;"",E39*HP_kW*Load,""))))</f>
        <v/>
      </c>
      <c r="O39" s="2">
        <f>IF(N39="","",N39*BSFC/Rho_fuel)</f>
        <v/>
      </c>
      <c r="P39" s="2">
        <f>IF(OR(O39="",F39=""),"",O39/F39)</f>
        <v/>
      </c>
      <c r="Q39" s="2">
        <f>IF(OR(P39="",D39=""),"",P39/D39)</f>
        <v/>
      </c>
      <c r="R39" s="2">
        <f>IF(K39&lt;&gt;"",K39,RepRoutePerDay)</f>
        <v/>
      </c>
      <c r="S39" s="2">
        <f>IF(Q39="","",ROUND(Q39*R39,1))</f>
        <v/>
      </c>
      <c r="T39" s="2">
        <f>IF(E39="",PenEngine,1)*IF(G39="",PenMissing,1)*IF(F39="",PenMissing,1)*IF(D39="",PenMissing,1)</f>
        <v/>
      </c>
      <c r="U39" s="2">
        <f>IFERROR(IF(S39="","",100*(MAX($S$2:$S$127)-S39)/(MAX($S$2:$S$127)-MIN($S$2:$S$127))),"")</f>
        <v/>
      </c>
      <c r="V39" s="2">
        <f>IF(U39="","",ROUND(U39*T39,1))</f>
        <v/>
      </c>
      <c r="W39" t="inlineStr">
        <is>
          <t>length_ft_m_mismatch, missing_length_m, missing_price_per_day</t>
        </is>
      </c>
    </row>
    <row r="40">
      <c r="A40" s="2">
        <f>IF(V40="","",RANK(V40,$V$2:$V$127))</f>
        <v/>
      </c>
      <c r="B40" t="inlineStr">
        <is>
          <t>Galapagos Sea Star</t>
        </is>
      </c>
      <c r="C40" t="inlineStr">
        <is>
          <t>Yacht</t>
        </is>
      </c>
      <c r="D40" s="3" t="n">
        <v>16</v>
      </c>
      <c r="E40" s="3" t="n">
        <v>900</v>
      </c>
      <c r="F40" s="3" t="n">
        <v>10</v>
      </c>
      <c r="G40" s="3" t="n">
        <v>42</v>
      </c>
      <c r="H40" s="3" t="n">
        <v>9</v>
      </c>
      <c r="I40" s="3" t="n">
        <v>2</v>
      </c>
      <c r="J40" s="3" t="n"/>
      <c r="K40" s="3" t="n">
        <v>35</v>
      </c>
      <c r="L40" s="2">
        <f>IF(I40&lt;&gt;"",I40,IF(G40&lt;&gt;"",MAX(DraftMin,DraftK*G40),""))</f>
        <v/>
      </c>
      <c r="M40" s="2">
        <f>IF(J40&lt;&gt;"",J40*GT_disp,IF(AND(G40&lt;&gt;"",H40&lt;&gt;"",L40&lt;&gt;""),G40*H40*L40*Cb*Rho_sw,""))</f>
        <v/>
      </c>
      <c r="N40" s="2">
        <f>IF(F40="","",IF(AND(M40&lt;&gt;"",E40&lt;&gt;""),MIN(M40^(2/3)*F40^3/C_adm,E40*HP_kW*Load),IF(M40&lt;&gt;"",M40^(2/3)*F40^3/C_adm,IF(E40&lt;&gt;"",E40*HP_kW*Load,""))))</f>
        <v/>
      </c>
      <c r="O40" s="2">
        <f>IF(N40="","",N40*BSFC/Rho_fuel)</f>
        <v/>
      </c>
      <c r="P40" s="2">
        <f>IF(OR(O40="",F40=""),"",O40/F40)</f>
        <v/>
      </c>
      <c r="Q40" s="2">
        <f>IF(OR(P40="",D40=""),"",P40/D40)</f>
        <v/>
      </c>
      <c r="R40" s="2">
        <f>IF(K40&lt;&gt;"",K40,RepRoutePerDay)</f>
        <v/>
      </c>
      <c r="S40" s="2">
        <f>IF(Q40="","",ROUND(Q40*R40,1))</f>
        <v/>
      </c>
      <c r="T40" s="2">
        <f>IF(E40="",PenEngine,1)*IF(G40="",PenMissing,1)*IF(F40="",PenMissing,1)*IF(D40="",PenMissing,1)</f>
        <v/>
      </c>
      <c r="U40" s="2">
        <f>IFERROR(IF(S40="","",100*(MAX($S$2:$S$127)-S40)/(MAX($S$2:$S$127)-MIN($S$2:$S$127))),"")</f>
        <v/>
      </c>
      <c r="V40" s="2">
        <f>IF(U40="","",ROUND(U40*T40,1))</f>
        <v/>
      </c>
      <c r="W40" t="inlineStr"/>
    </row>
    <row r="41">
      <c r="A41" s="2">
        <f>IF(V41="","",RANK(V41,$V$2:$V$127))</f>
        <v/>
      </c>
      <c r="B41" t="inlineStr">
        <is>
          <t>Galapagos Sky</t>
        </is>
      </c>
      <c r="C41" t="inlineStr">
        <is>
          <t>Yacht</t>
        </is>
      </c>
      <c r="D41" s="3" t="n">
        <v>16</v>
      </c>
      <c r="E41" s="3" t="n">
        <v>1000</v>
      </c>
      <c r="F41" s="3" t="n">
        <v>12</v>
      </c>
      <c r="G41" s="3" t="n">
        <v>30</v>
      </c>
      <c r="H41" s="3" t="n">
        <v>7</v>
      </c>
      <c r="I41" s="3" t="n"/>
      <c r="J41" s="3" t="n"/>
      <c r="K41" s="3" t="n"/>
      <c r="L41" s="2">
        <f>IF(I41&lt;&gt;"",I41,IF(G41&lt;&gt;"",MAX(DraftMin,DraftK*G41),""))</f>
        <v/>
      </c>
      <c r="M41" s="2">
        <f>IF(J41&lt;&gt;"",J41*GT_disp,IF(AND(G41&lt;&gt;"",H41&lt;&gt;"",L41&lt;&gt;""),G41*H41*L41*Cb*Rho_sw,""))</f>
        <v/>
      </c>
      <c r="N41" s="2">
        <f>IF(F41="","",IF(AND(M41&lt;&gt;"",E41&lt;&gt;""),MIN(M41^(2/3)*F41^3/C_adm,E41*HP_kW*Load),IF(M41&lt;&gt;"",M41^(2/3)*F41^3/C_adm,IF(E41&lt;&gt;"",E41*HP_kW*Load,""))))</f>
        <v/>
      </c>
      <c r="O41" s="2">
        <f>IF(N41="","",N41*BSFC/Rho_fuel)</f>
        <v/>
      </c>
      <c r="P41" s="2">
        <f>IF(OR(O41="",F41=""),"",O41/F41)</f>
        <v/>
      </c>
      <c r="Q41" s="2">
        <f>IF(OR(P41="",D41=""),"",P41/D41)</f>
        <v/>
      </c>
      <c r="R41" s="2">
        <f>IF(K41&lt;&gt;"",K41,RepRoutePerDay)</f>
        <v/>
      </c>
      <c r="S41" s="2">
        <f>IF(Q41="","",ROUND(Q41*R41,1))</f>
        <v/>
      </c>
      <c r="T41" s="2">
        <f>IF(E41="",PenEngine,1)*IF(G41="",PenMissing,1)*IF(F41="",PenMissing,1)*IF(D41="",PenMissing,1)</f>
        <v/>
      </c>
      <c r="U41" s="2">
        <f>IFERROR(IF(S41="","",100*(MAX($S$2:$S$127)-S41)/(MAX($S$2:$S$127)-MIN($S$2:$S$127))),"")</f>
        <v/>
      </c>
      <c r="V41" s="2">
        <f>IF(U41="","",ROUND(U41*T41,1))</f>
        <v/>
      </c>
      <c r="W41" t="inlineStr">
        <is>
          <t>missing_price_per_day</t>
        </is>
      </c>
    </row>
    <row r="42">
      <c r="A42" s="2">
        <f>IF(V42="","",RANK(V42,$V$2:$V$127))</f>
        <v/>
      </c>
      <c r="B42" t="inlineStr">
        <is>
          <t>Infinity</t>
        </is>
      </c>
      <c r="C42" t="inlineStr">
        <is>
          <t>Yacht</t>
        </is>
      </c>
      <c r="D42" s="3" t="n">
        <v>20</v>
      </c>
      <c r="E42" s="3" t="n">
        <v>1100</v>
      </c>
      <c r="F42" s="3" t="n">
        <v>10</v>
      </c>
      <c r="G42" s="3" t="n">
        <v>49</v>
      </c>
      <c r="H42" s="3" t="n">
        <v>10</v>
      </c>
      <c r="I42" s="3" t="n">
        <v>2.4</v>
      </c>
      <c r="J42" s="3" t="n"/>
      <c r="K42" s="3" t="n">
        <v>34.5</v>
      </c>
      <c r="L42" s="2">
        <f>IF(I42&lt;&gt;"",I42,IF(G42&lt;&gt;"",MAX(DraftMin,DraftK*G42),""))</f>
        <v/>
      </c>
      <c r="M42" s="2">
        <f>IF(J42&lt;&gt;"",J42*GT_disp,IF(AND(G42&lt;&gt;"",H42&lt;&gt;"",L42&lt;&gt;""),G42*H42*L42*Cb*Rho_sw,""))</f>
        <v/>
      </c>
      <c r="N42" s="2">
        <f>IF(F42="","",IF(AND(M42&lt;&gt;"",E42&lt;&gt;""),MIN(M42^(2/3)*F42^3/C_adm,E42*HP_kW*Load),IF(M42&lt;&gt;"",M42^(2/3)*F42^3/C_adm,IF(E42&lt;&gt;"",E42*HP_kW*Load,""))))</f>
        <v/>
      </c>
      <c r="O42" s="2">
        <f>IF(N42="","",N42*BSFC/Rho_fuel)</f>
        <v/>
      </c>
      <c r="P42" s="2">
        <f>IF(OR(O42="",F42=""),"",O42/F42)</f>
        <v/>
      </c>
      <c r="Q42" s="2">
        <f>IF(OR(P42="",D42=""),"",P42/D42)</f>
        <v/>
      </c>
      <c r="R42" s="2">
        <f>IF(K42&lt;&gt;"",K42,RepRoutePerDay)</f>
        <v/>
      </c>
      <c r="S42" s="2">
        <f>IF(Q42="","",ROUND(Q42*R42,1))</f>
        <v/>
      </c>
      <c r="T42" s="2">
        <f>IF(E42="",PenEngine,1)*IF(G42="",PenMissing,1)*IF(F42="",PenMissing,1)*IF(D42="",PenMissing,1)</f>
        <v/>
      </c>
      <c r="U42" s="2">
        <f>IFERROR(IF(S42="","",100*(MAX($S$2:$S$127)-S42)/(MAX($S$2:$S$127)-MIN($S$2:$S$127))),"")</f>
        <v/>
      </c>
      <c r="V42" s="2">
        <f>IF(U42="","",ROUND(U42*T42,1))</f>
        <v/>
      </c>
      <c r="W42" t="inlineStr"/>
    </row>
    <row r="43">
      <c r="A43" s="2">
        <f>IF(V43="","",RANK(V43,$V$2:$V$127))</f>
        <v/>
      </c>
      <c r="B43" t="inlineStr">
        <is>
          <t>Solaris</t>
        </is>
      </c>
      <c r="C43" t="inlineStr">
        <is>
          <t>Yacht</t>
        </is>
      </c>
      <c r="D43" s="3" t="n">
        <v>16</v>
      </c>
      <c r="E43" s="3" t="n"/>
      <c r="F43" s="3" t="n">
        <v>10</v>
      </c>
      <c r="G43" s="3" t="n">
        <v>36</v>
      </c>
      <c r="H43" s="3" t="n">
        <v>9</v>
      </c>
      <c r="I43" s="3" t="n"/>
      <c r="J43" s="3" t="n"/>
      <c r="K43" s="3" t="n">
        <v>37.5</v>
      </c>
      <c r="L43" s="2">
        <f>IF(I43&lt;&gt;"",I43,IF(G43&lt;&gt;"",MAX(DraftMin,DraftK*G43),""))</f>
        <v/>
      </c>
      <c r="M43" s="2">
        <f>IF(J43&lt;&gt;"",J43*GT_disp,IF(AND(G43&lt;&gt;"",H43&lt;&gt;"",L43&lt;&gt;""),G43*H43*L43*Cb*Rho_sw,""))</f>
        <v/>
      </c>
      <c r="N43" s="2">
        <f>IF(F43="","",IF(AND(M43&lt;&gt;"",E43&lt;&gt;""),MIN(M43^(2/3)*F43^3/C_adm,E43*HP_kW*Load),IF(M43&lt;&gt;"",M43^(2/3)*F43^3/C_adm,IF(E43&lt;&gt;"",E43*HP_kW*Load,""))))</f>
        <v/>
      </c>
      <c r="O43" s="2">
        <f>IF(N43="","",N43*BSFC/Rho_fuel)</f>
        <v/>
      </c>
      <c r="P43" s="2">
        <f>IF(OR(O43="",F43=""),"",O43/F43)</f>
        <v/>
      </c>
      <c r="Q43" s="2">
        <f>IF(OR(P43="",D43=""),"",P43/D43)</f>
        <v/>
      </c>
      <c r="R43" s="2">
        <f>IF(K43&lt;&gt;"",K43,RepRoutePerDay)</f>
        <v/>
      </c>
      <c r="S43" s="2">
        <f>IF(Q43="","",ROUND(Q43*R43,1))</f>
        <v/>
      </c>
      <c r="T43" s="2">
        <f>IF(E43="",PenEngine,1)*IF(G43="",PenMissing,1)*IF(F43="",PenMissing,1)*IF(D43="",PenMissing,1)</f>
        <v/>
      </c>
      <c r="U43" s="2">
        <f>IFERROR(IF(S43="","",100*(MAX($S$2:$S$127)-S43)/(MAX($S$2:$S$127)-MIN($S$2:$S$127))),"")</f>
        <v/>
      </c>
      <c r="V43" s="2">
        <f>IF(U43="","",ROUND(U43*T43,1))</f>
        <v/>
      </c>
      <c r="W43" t="inlineStr">
        <is>
          <t>no_engine_data</t>
        </is>
      </c>
    </row>
    <row r="44">
      <c r="A44" s="2">
        <f>IF(V44="","",RANK(V44,$V$2:$V$127))</f>
        <v/>
      </c>
      <c r="B44" t="inlineStr">
        <is>
          <t>Galapagos Angel</t>
        </is>
      </c>
      <c r="C44" t="inlineStr">
        <is>
          <t>Yacht</t>
        </is>
      </c>
      <c r="D44" s="3" t="n">
        <v>16</v>
      </c>
      <c r="E44" s="3" t="n">
        <v>1670</v>
      </c>
      <c r="F44" s="3" t="n">
        <v>11</v>
      </c>
      <c r="G44" s="3" t="n">
        <v>35</v>
      </c>
      <c r="H44" s="3" t="n">
        <v>8</v>
      </c>
      <c r="I44" s="3" t="n"/>
      <c r="J44" s="3" t="n"/>
      <c r="K44" s="3" t="n"/>
      <c r="L44" s="2">
        <f>IF(I44&lt;&gt;"",I44,IF(G44&lt;&gt;"",MAX(DraftMin,DraftK*G44),""))</f>
        <v/>
      </c>
      <c r="M44" s="2">
        <f>IF(J44&lt;&gt;"",J44*GT_disp,IF(AND(G44&lt;&gt;"",H44&lt;&gt;"",L44&lt;&gt;""),G44*H44*L44*Cb*Rho_sw,""))</f>
        <v/>
      </c>
      <c r="N44" s="2">
        <f>IF(F44="","",IF(AND(M44&lt;&gt;"",E44&lt;&gt;""),MIN(M44^(2/3)*F44^3/C_adm,E44*HP_kW*Load),IF(M44&lt;&gt;"",M44^(2/3)*F44^3/C_adm,IF(E44&lt;&gt;"",E44*HP_kW*Load,""))))</f>
        <v/>
      </c>
      <c r="O44" s="2">
        <f>IF(N44="","",N44*BSFC/Rho_fuel)</f>
        <v/>
      </c>
      <c r="P44" s="2">
        <f>IF(OR(O44="",F44=""),"",O44/F44)</f>
        <v/>
      </c>
      <c r="Q44" s="2">
        <f>IF(OR(P44="",D44=""),"",P44/D44)</f>
        <v/>
      </c>
      <c r="R44" s="2">
        <f>IF(K44&lt;&gt;"",K44,RepRoutePerDay)</f>
        <v/>
      </c>
      <c r="S44" s="2">
        <f>IF(Q44="","",ROUND(Q44*R44,1))</f>
        <v/>
      </c>
      <c r="T44" s="2">
        <f>IF(E44="",PenEngine,1)*IF(G44="",PenMissing,1)*IF(F44="",PenMissing,1)*IF(D44="",PenMissing,1)</f>
        <v/>
      </c>
      <c r="U44" s="2">
        <f>IFERROR(IF(S44="","",100*(MAX($S$2:$S$127)-S44)/(MAX($S$2:$S$127)-MIN($S$2:$S$127))),"")</f>
        <v/>
      </c>
      <c r="V44" s="2">
        <f>IF(U44="","",ROUND(U44*T44,1))</f>
        <v/>
      </c>
      <c r="W44" t="inlineStr"/>
    </row>
    <row r="45">
      <c r="A45" s="2">
        <f>IF(V45="","",RANK(V45,$V$2:$V$127))</f>
        <v/>
      </c>
      <c r="B45" t="inlineStr">
        <is>
          <t>Beluga</t>
        </is>
      </c>
      <c r="C45" t="inlineStr">
        <is>
          <t>Yacht</t>
        </is>
      </c>
      <c r="D45" s="3" t="n">
        <v>16</v>
      </c>
      <c r="E45" s="3" t="n">
        <v>900</v>
      </c>
      <c r="F45" s="3" t="n">
        <v>12</v>
      </c>
      <c r="G45" s="3" t="n">
        <v>34</v>
      </c>
      <c r="H45" s="3" t="n">
        <v>7</v>
      </c>
      <c r="I45" s="3" t="n"/>
      <c r="J45" s="3" t="n"/>
      <c r="K45" s="3" t="n">
        <v>38</v>
      </c>
      <c r="L45" s="2">
        <f>IF(I45&lt;&gt;"",I45,IF(G45&lt;&gt;"",MAX(DraftMin,DraftK*G45),""))</f>
        <v/>
      </c>
      <c r="M45" s="2">
        <f>IF(J45&lt;&gt;"",J45*GT_disp,IF(AND(G45&lt;&gt;"",H45&lt;&gt;"",L45&lt;&gt;""),G45*H45*L45*Cb*Rho_sw,""))</f>
        <v/>
      </c>
      <c r="N45" s="2">
        <f>IF(F45="","",IF(AND(M45&lt;&gt;"",E45&lt;&gt;""),MIN(M45^(2/3)*F45^3/C_adm,E45*HP_kW*Load),IF(M45&lt;&gt;"",M45^(2/3)*F45^3/C_adm,IF(E45&lt;&gt;"",E45*HP_kW*Load,""))))</f>
        <v/>
      </c>
      <c r="O45" s="2">
        <f>IF(N45="","",N45*BSFC/Rho_fuel)</f>
        <v/>
      </c>
      <c r="P45" s="2">
        <f>IF(OR(O45="",F45=""),"",O45/F45)</f>
        <v/>
      </c>
      <c r="Q45" s="2">
        <f>IF(OR(P45="",D45=""),"",P45/D45)</f>
        <v/>
      </c>
      <c r="R45" s="2">
        <f>IF(K45&lt;&gt;"",K45,RepRoutePerDay)</f>
        <v/>
      </c>
      <c r="S45" s="2">
        <f>IF(Q45="","",ROUND(Q45*R45,1))</f>
        <v/>
      </c>
      <c r="T45" s="2">
        <f>IF(E45="",PenEngine,1)*IF(G45="",PenMissing,1)*IF(F45="",PenMissing,1)*IF(D45="",PenMissing,1)</f>
        <v/>
      </c>
      <c r="U45" s="2">
        <f>IFERROR(IF(S45="","",100*(MAX($S$2:$S$127)-S45)/(MAX($S$2:$S$127)-MIN($S$2:$S$127))),"")</f>
        <v/>
      </c>
      <c r="V45" s="2">
        <f>IF(U45="","",ROUND(U45*T45,1))</f>
        <v/>
      </c>
      <c r="W45" t="inlineStr"/>
    </row>
    <row r="46">
      <c r="A46" s="2">
        <f>IF(V46="","",RANK(V46,$V$2:$V$127))</f>
        <v/>
      </c>
      <c r="B46" t="inlineStr">
        <is>
          <t>Tip Top Iv</t>
        </is>
      </c>
      <c r="C46" t="inlineStr">
        <is>
          <t>Yacht</t>
        </is>
      </c>
      <c r="D46" s="3" t="n">
        <v>16</v>
      </c>
      <c r="E46" s="3" t="n">
        <v>884</v>
      </c>
      <c r="F46" s="3" t="n">
        <v>12</v>
      </c>
      <c r="G46" s="3" t="n">
        <v>38.1</v>
      </c>
      <c r="H46" s="3" t="n">
        <v>6</v>
      </c>
      <c r="I46" s="3" t="n"/>
      <c r="J46" s="3" t="n"/>
      <c r="K46" s="3" t="n">
        <v>36.9</v>
      </c>
      <c r="L46" s="2">
        <f>IF(I46&lt;&gt;"",I46,IF(G46&lt;&gt;"",MAX(DraftMin,DraftK*G46),""))</f>
        <v/>
      </c>
      <c r="M46" s="2">
        <f>IF(J46&lt;&gt;"",J46*GT_disp,IF(AND(G46&lt;&gt;"",H46&lt;&gt;"",L46&lt;&gt;""),G46*H46*L46*Cb*Rho_sw,""))</f>
        <v/>
      </c>
      <c r="N46" s="2">
        <f>IF(F46="","",IF(AND(M46&lt;&gt;"",E46&lt;&gt;""),MIN(M46^(2/3)*F46^3/C_adm,E46*HP_kW*Load),IF(M46&lt;&gt;"",M46^(2/3)*F46^3/C_adm,IF(E46&lt;&gt;"",E46*HP_kW*Load,""))))</f>
        <v/>
      </c>
      <c r="O46" s="2">
        <f>IF(N46="","",N46*BSFC/Rho_fuel)</f>
        <v/>
      </c>
      <c r="P46" s="2">
        <f>IF(OR(O46="",F46=""),"",O46/F46)</f>
        <v/>
      </c>
      <c r="Q46" s="2">
        <f>IF(OR(P46="",D46=""),"",P46/D46)</f>
        <v/>
      </c>
      <c r="R46" s="2">
        <f>IF(K46&lt;&gt;"",K46,RepRoutePerDay)</f>
        <v/>
      </c>
      <c r="S46" s="2">
        <f>IF(Q46="","",ROUND(Q46*R46,1))</f>
        <v/>
      </c>
      <c r="T46" s="2">
        <f>IF(E46="",PenEngine,1)*IF(G46="",PenMissing,1)*IF(F46="",PenMissing,1)*IF(D46="",PenMissing,1)</f>
        <v/>
      </c>
      <c r="U46" s="2">
        <f>IFERROR(IF(S46="","",100*(MAX($S$2:$S$127)-S46)/(MAX($S$2:$S$127)-MIN($S$2:$S$127))),"")</f>
        <v/>
      </c>
      <c r="V46" s="2">
        <f>IF(U46="","",ROUND(U46*T46,1))</f>
        <v/>
      </c>
      <c r="W46" t="inlineStr"/>
    </row>
    <row r="47">
      <c r="A47" s="2">
        <f>IF(V47="","",RANK(V47,$V$2:$V$127))</f>
        <v/>
      </c>
      <c r="B47" t="inlineStr">
        <is>
          <t>Galapagos Horizon</t>
        </is>
      </c>
      <c r="C47" t="inlineStr">
        <is>
          <t>Catamaran</t>
        </is>
      </c>
      <c r="D47" s="3" t="n">
        <v>16</v>
      </c>
      <c r="E47" s="3" t="n">
        <v>550</v>
      </c>
      <c r="F47" s="3" t="n">
        <v>11</v>
      </c>
      <c r="G47" s="3" t="n">
        <v>38</v>
      </c>
      <c r="H47" s="3" t="n">
        <v>13</v>
      </c>
      <c r="I47" s="3" t="n">
        <v>1.9</v>
      </c>
      <c r="J47" s="3" t="n"/>
      <c r="K47" s="3" t="n"/>
      <c r="L47" s="2">
        <f>IF(I47&lt;&gt;"",I47,IF(G47&lt;&gt;"",MAX(DraftMin,DraftK*G47),""))</f>
        <v/>
      </c>
      <c r="M47" s="2">
        <f>IF(J47&lt;&gt;"",J47*GT_disp,IF(AND(G47&lt;&gt;"",H47&lt;&gt;"",L47&lt;&gt;""),G47*H47*L47*Cb*Rho_sw,""))</f>
        <v/>
      </c>
      <c r="N47" s="2">
        <f>IF(F47="","",IF(AND(M47&lt;&gt;"",E47&lt;&gt;""),MIN(M47^(2/3)*F47^3/C_adm,E47*HP_kW*Load),IF(M47&lt;&gt;"",M47^(2/3)*F47^3/C_adm,IF(E47&lt;&gt;"",E47*HP_kW*Load,""))))</f>
        <v/>
      </c>
      <c r="O47" s="2">
        <f>IF(N47="","",N47*BSFC/Rho_fuel)</f>
        <v/>
      </c>
      <c r="P47" s="2">
        <f>IF(OR(O47="",F47=""),"",O47/F47)</f>
        <v/>
      </c>
      <c r="Q47" s="2">
        <f>IF(OR(P47="",D47=""),"",P47/D47)</f>
        <v/>
      </c>
      <c r="R47" s="2">
        <f>IF(K47&lt;&gt;"",K47,RepRoutePerDay)</f>
        <v/>
      </c>
      <c r="S47" s="2">
        <f>IF(Q47="","",ROUND(Q47*R47,1))</f>
        <v/>
      </c>
      <c r="T47" s="2">
        <f>IF(E47="",PenEngine,1)*IF(G47="",PenMissing,1)*IF(F47="",PenMissing,1)*IF(D47="",PenMissing,1)</f>
        <v/>
      </c>
      <c r="U47" s="2">
        <f>IFERROR(IF(S47="","",100*(MAX($S$2:$S$127)-S47)/(MAX($S$2:$S$127)-MIN($S$2:$S$127))),"")</f>
        <v/>
      </c>
      <c r="V47" s="2">
        <f>IF(U47="","",ROUND(U47*T47,1))</f>
        <v/>
      </c>
      <c r="W47" t="inlineStr"/>
    </row>
    <row r="48">
      <c r="A48" s="2">
        <f>IF(V48="","",RANK(V48,$V$2:$V$127))</f>
        <v/>
      </c>
      <c r="B48" t="inlineStr">
        <is>
          <t>National Geographic Delfina</t>
        </is>
      </c>
      <c r="C48" t="inlineStr">
        <is>
          <t>Ship</t>
        </is>
      </c>
      <c r="D48" s="3" t="n">
        <v>16</v>
      </c>
      <c r="E48" s="3" t="n">
        <v>600</v>
      </c>
      <c r="F48" s="3" t="n">
        <v>12</v>
      </c>
      <c r="G48" s="3" t="n">
        <v>29.9</v>
      </c>
      <c r="H48" s="3" t="n"/>
      <c r="I48" s="3" t="n"/>
      <c r="J48" s="3" t="n"/>
      <c r="K48" s="3" t="n"/>
      <c r="L48" s="2">
        <f>IF(I48&lt;&gt;"",I48,IF(G48&lt;&gt;"",MAX(DraftMin,DraftK*G48),""))</f>
        <v/>
      </c>
      <c r="M48" s="2">
        <f>IF(J48&lt;&gt;"",J48*GT_disp,IF(AND(G48&lt;&gt;"",H48&lt;&gt;"",L48&lt;&gt;""),G48*H48*L48*Cb*Rho_sw,""))</f>
        <v/>
      </c>
      <c r="N48" s="2">
        <f>IF(F48="","",IF(AND(M48&lt;&gt;"",E48&lt;&gt;""),MIN(M48^(2/3)*F48^3/C_adm,E48*HP_kW*Load),IF(M48&lt;&gt;"",M48^(2/3)*F48^3/C_adm,IF(E48&lt;&gt;"",E48*HP_kW*Load,""))))</f>
        <v/>
      </c>
      <c r="O48" s="2">
        <f>IF(N48="","",N48*BSFC/Rho_fuel)</f>
        <v/>
      </c>
      <c r="P48" s="2">
        <f>IF(OR(O48="",F48=""),"",O48/F48)</f>
        <v/>
      </c>
      <c r="Q48" s="2">
        <f>IF(OR(P48="",D48=""),"",P48/D48)</f>
        <v/>
      </c>
      <c r="R48" s="2">
        <f>IF(K48&lt;&gt;"",K48,RepRoutePerDay)</f>
        <v/>
      </c>
      <c r="S48" s="2">
        <f>IF(Q48="","",ROUND(Q48*R48,1))</f>
        <v/>
      </c>
      <c r="T48" s="2">
        <f>IF(E48="",PenEngine,1)*IF(G48="",PenMissing,1)*IF(F48="",PenMissing,1)*IF(D48="",PenMissing,1)</f>
        <v/>
      </c>
      <c r="U48" s="2">
        <f>IFERROR(IF(S48="","",100*(MAX($S$2:$S$127)-S48)/(MAX($S$2:$S$127)-MIN($S$2:$S$127))),"")</f>
        <v/>
      </c>
      <c r="V48" s="2">
        <f>IF(U48="","",ROUND(U48*T48,1))</f>
        <v/>
      </c>
      <c r="W48" t="inlineStr">
        <is>
          <t>missing_beam_m, missing_crew_count, missing_price_per_day</t>
        </is>
      </c>
    </row>
    <row r="49">
      <c r="A49" s="2">
        <f>IF(V49="","",RANK(V49,$V$2:$V$127))</f>
        <v/>
      </c>
      <c r="B49" t="inlineStr">
        <is>
          <t>Alya</t>
        </is>
      </c>
      <c r="C49" t="inlineStr">
        <is>
          <t>Catamaran</t>
        </is>
      </c>
      <c r="D49" s="3" t="n">
        <v>16</v>
      </c>
      <c r="E49" s="3" t="n">
        <v>700</v>
      </c>
      <c r="F49" s="3" t="n">
        <v>12</v>
      </c>
      <c r="G49" s="3" t="n">
        <v>32</v>
      </c>
      <c r="H49" s="3" t="n">
        <v>13</v>
      </c>
      <c r="I49" s="3" t="n"/>
      <c r="J49" s="3" t="n"/>
      <c r="K49" s="3" t="n">
        <v>30.1</v>
      </c>
      <c r="L49" s="2">
        <f>IF(I49&lt;&gt;"",I49,IF(G49&lt;&gt;"",MAX(DraftMin,DraftK*G49),""))</f>
        <v/>
      </c>
      <c r="M49" s="2">
        <f>IF(J49&lt;&gt;"",J49*GT_disp,IF(AND(G49&lt;&gt;"",H49&lt;&gt;"",L49&lt;&gt;""),G49*H49*L49*Cb*Rho_sw,""))</f>
        <v/>
      </c>
      <c r="N49" s="2">
        <f>IF(F49="","",IF(AND(M49&lt;&gt;"",E49&lt;&gt;""),MIN(M49^(2/3)*F49^3/C_adm,E49*HP_kW*Load),IF(M49&lt;&gt;"",M49^(2/3)*F49^3/C_adm,IF(E49&lt;&gt;"",E49*HP_kW*Load,""))))</f>
        <v/>
      </c>
      <c r="O49" s="2">
        <f>IF(N49="","",N49*BSFC/Rho_fuel)</f>
        <v/>
      </c>
      <c r="P49" s="2">
        <f>IF(OR(O49="",F49=""),"",O49/F49)</f>
        <v/>
      </c>
      <c r="Q49" s="2">
        <f>IF(OR(P49="",D49=""),"",P49/D49)</f>
        <v/>
      </c>
      <c r="R49" s="2">
        <f>IF(K49&lt;&gt;"",K49,RepRoutePerDay)</f>
        <v/>
      </c>
      <c r="S49" s="2">
        <f>IF(Q49="","",ROUND(Q49*R49,1))</f>
        <v/>
      </c>
      <c r="T49" s="2">
        <f>IF(E49="",PenEngine,1)*IF(G49="",PenMissing,1)*IF(F49="",PenMissing,1)*IF(D49="",PenMissing,1)</f>
        <v/>
      </c>
      <c r="U49" s="2">
        <f>IFERROR(IF(S49="","",100*(MAX($S$2:$S$127)-S49)/(MAX($S$2:$S$127)-MIN($S$2:$S$127))),"")</f>
        <v/>
      </c>
      <c r="V49" s="2">
        <f>IF(U49="","",ROUND(U49*T49,1))</f>
        <v/>
      </c>
      <c r="W49" t="inlineStr"/>
    </row>
    <row r="50">
      <c r="A50" s="2">
        <f>IF(V50="","",RANK(V50,$V$2:$V$127))</f>
        <v/>
      </c>
      <c r="B50" t="inlineStr">
        <is>
          <t>Treasure Of Galapagos</t>
        </is>
      </c>
      <c r="C50" t="inlineStr">
        <is>
          <t>Catamaran</t>
        </is>
      </c>
      <c r="D50" s="3" t="n">
        <v>16</v>
      </c>
      <c r="E50" s="3" t="n">
        <v>770</v>
      </c>
      <c r="F50" s="3" t="n">
        <v>11</v>
      </c>
      <c r="G50" s="3" t="n">
        <v>31</v>
      </c>
      <c r="H50" s="3" t="n">
        <v>20</v>
      </c>
      <c r="I50" s="3" t="n"/>
      <c r="J50" s="3" t="n"/>
      <c r="K50" s="3" t="n">
        <v>27.6</v>
      </c>
      <c r="L50" s="2">
        <f>IF(I50&lt;&gt;"",I50,IF(G50&lt;&gt;"",MAX(DraftMin,DraftK*G50),""))</f>
        <v/>
      </c>
      <c r="M50" s="2">
        <f>IF(J50&lt;&gt;"",J50*GT_disp,IF(AND(G50&lt;&gt;"",H50&lt;&gt;"",L50&lt;&gt;""),G50*H50*L50*Cb*Rho_sw,""))</f>
        <v/>
      </c>
      <c r="N50" s="2">
        <f>IF(F50="","",IF(AND(M50&lt;&gt;"",E50&lt;&gt;""),MIN(M50^(2/3)*F50^3/C_adm,E50*HP_kW*Load),IF(M50&lt;&gt;"",M50^(2/3)*F50^3/C_adm,IF(E50&lt;&gt;"",E50*HP_kW*Load,""))))</f>
        <v/>
      </c>
      <c r="O50" s="2">
        <f>IF(N50="","",N50*BSFC/Rho_fuel)</f>
        <v/>
      </c>
      <c r="P50" s="2">
        <f>IF(OR(O50="",F50=""),"",O50/F50)</f>
        <v/>
      </c>
      <c r="Q50" s="2">
        <f>IF(OR(P50="",D50=""),"",P50/D50)</f>
        <v/>
      </c>
      <c r="R50" s="2">
        <f>IF(K50&lt;&gt;"",K50,RepRoutePerDay)</f>
        <v/>
      </c>
      <c r="S50" s="2">
        <f>IF(Q50="","",ROUND(Q50*R50,1))</f>
        <v/>
      </c>
      <c r="T50" s="2">
        <f>IF(E50="",PenEngine,1)*IF(G50="",PenMissing,1)*IF(F50="",PenMissing,1)*IF(D50="",PenMissing,1)</f>
        <v/>
      </c>
      <c r="U50" s="2">
        <f>IFERROR(IF(S50="","",100*(MAX($S$2:$S$127)-S50)/(MAX($S$2:$S$127)-MIN($S$2:$S$127))),"")</f>
        <v/>
      </c>
      <c r="V50" s="2">
        <f>IF(U50="","",ROUND(U50*T50,1))</f>
        <v/>
      </c>
      <c r="W50" t="inlineStr"/>
    </row>
    <row r="51">
      <c r="A51" s="2">
        <f>IF(V51="","",RANK(V51,$V$2:$V$127))</f>
        <v/>
      </c>
      <c r="B51" t="inlineStr">
        <is>
          <t>Galapagos Legend</t>
        </is>
      </c>
      <c r="C51" t="inlineStr">
        <is>
          <t>Ship</t>
        </is>
      </c>
      <c r="D51" s="3" t="n">
        <v>100</v>
      </c>
      <c r="E51" s="3" t="n">
        <v>6000</v>
      </c>
      <c r="F51" s="3" t="n">
        <v>17</v>
      </c>
      <c r="G51" s="3" t="n">
        <v>92</v>
      </c>
      <c r="H51" s="3" t="n">
        <v>15</v>
      </c>
      <c r="I51" s="3" t="n"/>
      <c r="J51" s="3" t="n"/>
      <c r="K51" s="3" t="n">
        <v>36</v>
      </c>
      <c r="L51" s="2">
        <f>IF(I51&lt;&gt;"",I51,IF(G51&lt;&gt;"",MAX(DraftMin,DraftK*G51),""))</f>
        <v/>
      </c>
      <c r="M51" s="2">
        <f>IF(J51&lt;&gt;"",J51*GT_disp,IF(AND(G51&lt;&gt;"",H51&lt;&gt;"",L51&lt;&gt;""),G51*H51*L51*Cb*Rho_sw,""))</f>
        <v/>
      </c>
      <c r="N51" s="2">
        <f>IF(F51="","",IF(AND(M51&lt;&gt;"",E51&lt;&gt;""),MIN(M51^(2/3)*F51^3/C_adm,E51*HP_kW*Load),IF(M51&lt;&gt;"",M51^(2/3)*F51^3/C_adm,IF(E51&lt;&gt;"",E51*HP_kW*Load,""))))</f>
        <v/>
      </c>
      <c r="O51" s="2">
        <f>IF(N51="","",N51*BSFC/Rho_fuel)</f>
        <v/>
      </c>
      <c r="P51" s="2">
        <f>IF(OR(O51="",F51=""),"",O51/F51)</f>
        <v/>
      </c>
      <c r="Q51" s="2">
        <f>IF(OR(P51="",D51=""),"",P51/D51)</f>
        <v/>
      </c>
      <c r="R51" s="2">
        <f>IF(K51&lt;&gt;"",K51,RepRoutePerDay)</f>
        <v/>
      </c>
      <c r="S51" s="2">
        <f>IF(Q51="","",ROUND(Q51*R51,1))</f>
        <v/>
      </c>
      <c r="T51" s="2">
        <f>IF(E51="",PenEngine,1)*IF(G51="",PenMissing,1)*IF(F51="",PenMissing,1)*IF(D51="",PenMissing,1)</f>
        <v/>
      </c>
      <c r="U51" s="2">
        <f>IFERROR(IF(S51="","",100*(MAX($S$2:$S$127)-S51)/(MAX($S$2:$S$127)-MIN($S$2:$S$127))),"")</f>
        <v/>
      </c>
      <c r="V51" s="2">
        <f>IF(U51="","",ROUND(U51*T51,1))</f>
        <v/>
      </c>
      <c r="W51" t="inlineStr"/>
    </row>
    <row r="52">
      <c r="A52" s="2">
        <f>IF(V52="","",RANK(V52,$V$2:$V$127))</f>
        <v/>
      </c>
      <c r="B52" t="inlineStr">
        <is>
          <t>Silver Origin</t>
        </is>
      </c>
      <c r="C52" t="inlineStr">
        <is>
          <t>Ship</t>
        </is>
      </c>
      <c r="D52" s="3" t="n">
        <v>100</v>
      </c>
      <c r="E52" s="3" t="n">
        <v>5095.9</v>
      </c>
      <c r="F52" s="3" t="n">
        <v>14</v>
      </c>
      <c r="G52" s="3" t="n">
        <v>35</v>
      </c>
      <c r="H52" s="3" t="n"/>
      <c r="I52" s="3" t="n"/>
      <c r="J52" s="3" t="n"/>
      <c r="K52" s="3" t="n"/>
      <c r="L52" s="2">
        <f>IF(I52&lt;&gt;"",I52,IF(G52&lt;&gt;"",MAX(DraftMin,DraftK*G52),""))</f>
        <v/>
      </c>
      <c r="M52" s="2">
        <f>IF(J52&lt;&gt;"",J52*GT_disp,IF(AND(G52&lt;&gt;"",H52&lt;&gt;"",L52&lt;&gt;""),G52*H52*L52*Cb*Rho_sw,""))</f>
        <v/>
      </c>
      <c r="N52" s="2">
        <f>IF(F52="","",IF(AND(M52&lt;&gt;"",E52&lt;&gt;""),MIN(M52^(2/3)*F52^3/C_adm,E52*HP_kW*Load),IF(M52&lt;&gt;"",M52^(2/3)*F52^3/C_adm,IF(E52&lt;&gt;"",E52*HP_kW*Load,""))))</f>
        <v/>
      </c>
      <c r="O52" s="2">
        <f>IF(N52="","",N52*BSFC/Rho_fuel)</f>
        <v/>
      </c>
      <c r="P52" s="2">
        <f>IF(OR(O52="",F52=""),"",O52/F52)</f>
        <v/>
      </c>
      <c r="Q52" s="2">
        <f>IF(OR(P52="",D52=""),"",P52/D52)</f>
        <v/>
      </c>
      <c r="R52" s="2">
        <f>IF(K52&lt;&gt;"",K52,RepRoutePerDay)</f>
        <v/>
      </c>
      <c r="S52" s="2">
        <f>IF(Q52="","",ROUND(Q52*R52,1))</f>
        <v/>
      </c>
      <c r="T52" s="2">
        <f>IF(E52="",PenEngine,1)*IF(G52="",PenMissing,1)*IF(F52="",PenMissing,1)*IF(D52="",PenMissing,1)</f>
        <v/>
      </c>
      <c r="U52" s="2">
        <f>IFERROR(IF(S52="","",100*(MAX($S$2:$S$127)-S52)/(MAX($S$2:$S$127)-MIN($S$2:$S$127))),"")</f>
        <v/>
      </c>
      <c r="V52" s="2">
        <f>IF(U52="","",ROUND(U52*T52,1))</f>
        <v/>
      </c>
      <c r="W52" t="inlineStr">
        <is>
          <t>missing_beam_m, missing_price_per_day</t>
        </is>
      </c>
    </row>
    <row r="53">
      <c r="A53" s="2">
        <f>IF(V53="","",RANK(V53,$V$2:$V$127))</f>
        <v/>
      </c>
      <c r="B53" t="inlineStr">
        <is>
          <t>Tip Top V</t>
        </is>
      </c>
      <c r="C53" t="inlineStr">
        <is>
          <t>Catamaran</t>
        </is>
      </c>
      <c r="D53" s="3" t="n">
        <v>16</v>
      </c>
      <c r="E53" s="3" t="n">
        <v>700</v>
      </c>
      <c r="F53" s="3" t="n">
        <v>12</v>
      </c>
      <c r="G53" s="3" t="n">
        <v>34.1</v>
      </c>
      <c r="H53" s="3" t="n"/>
      <c r="I53" s="3" t="n"/>
      <c r="J53" s="3" t="n"/>
      <c r="K53" s="3" t="n"/>
      <c r="L53" s="2">
        <f>IF(I53&lt;&gt;"",I53,IF(G53&lt;&gt;"",MAX(DraftMin,DraftK*G53),""))</f>
        <v/>
      </c>
      <c r="M53" s="2">
        <f>IF(J53&lt;&gt;"",J53*GT_disp,IF(AND(G53&lt;&gt;"",H53&lt;&gt;"",L53&lt;&gt;""),G53*H53*L53*Cb*Rho_sw,""))</f>
        <v/>
      </c>
      <c r="N53" s="2">
        <f>IF(F53="","",IF(AND(M53&lt;&gt;"",E53&lt;&gt;""),MIN(M53^(2/3)*F53^3/C_adm,E53*HP_kW*Load),IF(M53&lt;&gt;"",M53^(2/3)*F53^3/C_adm,IF(E53&lt;&gt;"",E53*HP_kW*Load,""))))</f>
        <v/>
      </c>
      <c r="O53" s="2">
        <f>IF(N53="","",N53*BSFC/Rho_fuel)</f>
        <v/>
      </c>
      <c r="P53" s="2">
        <f>IF(OR(O53="",F53=""),"",O53/F53)</f>
        <v/>
      </c>
      <c r="Q53" s="2">
        <f>IF(OR(P53="",D53=""),"",P53/D53)</f>
        <v/>
      </c>
      <c r="R53" s="2">
        <f>IF(K53&lt;&gt;"",K53,RepRoutePerDay)</f>
        <v/>
      </c>
      <c r="S53" s="2">
        <f>IF(Q53="","",ROUND(Q53*R53,1))</f>
        <v/>
      </c>
      <c r="T53" s="2">
        <f>IF(E53="",PenEngine,1)*IF(G53="",PenMissing,1)*IF(F53="",PenMissing,1)*IF(D53="",PenMissing,1)</f>
        <v/>
      </c>
      <c r="U53" s="2">
        <f>IFERROR(IF(S53="","",100*(MAX($S$2:$S$127)-S53)/(MAX($S$2:$S$127)-MIN($S$2:$S$127))),"")</f>
        <v/>
      </c>
      <c r="V53" s="2">
        <f>IF(U53="","",ROUND(U53*T53,1))</f>
        <v/>
      </c>
      <c r="W53" t="inlineStr">
        <is>
          <t>missing_beam_m</t>
        </is>
      </c>
    </row>
    <row r="54">
      <c r="A54" s="2">
        <f>IF(V54="","",RANK(V54,$V$2:$V$127))</f>
        <v/>
      </c>
      <c r="B54" t="inlineStr">
        <is>
          <t>La Pinta</t>
        </is>
      </c>
      <c r="C54" t="inlineStr">
        <is>
          <t>Ship</t>
        </is>
      </c>
      <c r="D54" s="3" t="n">
        <v>48</v>
      </c>
      <c r="E54" s="3" t="n">
        <v>2550</v>
      </c>
      <c r="F54" s="3" t="n">
        <v>14</v>
      </c>
      <c r="G54" s="3" t="n">
        <v>63</v>
      </c>
      <c r="H54" s="3" t="n">
        <v>12</v>
      </c>
      <c r="I54" s="3" t="n"/>
      <c r="J54" s="3" t="n"/>
      <c r="K54" s="3" t="n">
        <v>33.8</v>
      </c>
      <c r="L54" s="2">
        <f>IF(I54&lt;&gt;"",I54,IF(G54&lt;&gt;"",MAX(DraftMin,DraftK*G54),""))</f>
        <v/>
      </c>
      <c r="M54" s="2">
        <f>IF(J54&lt;&gt;"",J54*GT_disp,IF(AND(G54&lt;&gt;"",H54&lt;&gt;"",L54&lt;&gt;""),G54*H54*L54*Cb*Rho_sw,""))</f>
        <v/>
      </c>
      <c r="N54" s="2">
        <f>IF(F54="","",IF(AND(M54&lt;&gt;"",E54&lt;&gt;""),MIN(M54^(2/3)*F54^3/C_adm,E54*HP_kW*Load),IF(M54&lt;&gt;"",M54^(2/3)*F54^3/C_adm,IF(E54&lt;&gt;"",E54*HP_kW*Load,""))))</f>
        <v/>
      </c>
      <c r="O54" s="2">
        <f>IF(N54="","",N54*BSFC/Rho_fuel)</f>
        <v/>
      </c>
      <c r="P54" s="2">
        <f>IF(OR(O54="",F54=""),"",O54/F54)</f>
        <v/>
      </c>
      <c r="Q54" s="2">
        <f>IF(OR(P54="",D54=""),"",P54/D54)</f>
        <v/>
      </c>
      <c r="R54" s="2">
        <f>IF(K54&lt;&gt;"",K54,RepRoutePerDay)</f>
        <v/>
      </c>
      <c r="S54" s="2">
        <f>IF(Q54="","",ROUND(Q54*R54,1))</f>
        <v/>
      </c>
      <c r="T54" s="2">
        <f>IF(E54="",PenEngine,1)*IF(G54="",PenMissing,1)*IF(F54="",PenMissing,1)*IF(D54="",PenMissing,1)</f>
        <v/>
      </c>
      <c r="U54" s="2">
        <f>IFERROR(IF(S54="","",100*(MAX($S$2:$S$127)-S54)/(MAX($S$2:$S$127)-MIN($S$2:$S$127))),"")</f>
        <v/>
      </c>
      <c r="V54" s="2">
        <f>IF(U54="","",ROUND(U54*T54,1))</f>
        <v/>
      </c>
      <c r="W54" t="inlineStr"/>
    </row>
    <row r="55">
      <c r="A55" s="2">
        <f>IF(V55="","",RANK(V55,$V$2:$V$127))</f>
        <v/>
      </c>
      <c r="B55" t="inlineStr">
        <is>
          <t>Alia</t>
        </is>
      </c>
      <c r="C55" t="inlineStr">
        <is>
          <t>Motor Catamaran</t>
        </is>
      </c>
      <c r="D55" s="3" t="n">
        <v>16</v>
      </c>
      <c r="E55" s="3" t="n"/>
      <c r="F55" s="3" t="n">
        <v>12</v>
      </c>
      <c r="G55" s="3" t="n">
        <v>32</v>
      </c>
      <c r="H55" s="3" t="n">
        <v>13</v>
      </c>
      <c r="I55" s="3" t="n"/>
      <c r="J55" s="3" t="n"/>
      <c r="K55" s="3" t="n"/>
      <c r="L55" s="2">
        <f>IF(I55&lt;&gt;"",I55,IF(G55&lt;&gt;"",MAX(DraftMin,DraftK*G55),""))</f>
        <v/>
      </c>
      <c r="M55" s="2">
        <f>IF(J55&lt;&gt;"",J55*GT_disp,IF(AND(G55&lt;&gt;"",H55&lt;&gt;"",L55&lt;&gt;""),G55*H55*L55*Cb*Rho_sw,""))</f>
        <v/>
      </c>
      <c r="N55" s="2">
        <f>IF(F55="","",IF(AND(M55&lt;&gt;"",E55&lt;&gt;""),MIN(M55^(2/3)*F55^3/C_adm,E55*HP_kW*Load),IF(M55&lt;&gt;"",M55^(2/3)*F55^3/C_adm,IF(E55&lt;&gt;"",E55*HP_kW*Load,""))))</f>
        <v/>
      </c>
      <c r="O55" s="2">
        <f>IF(N55="","",N55*BSFC/Rho_fuel)</f>
        <v/>
      </c>
      <c r="P55" s="2">
        <f>IF(OR(O55="",F55=""),"",O55/F55)</f>
        <v/>
      </c>
      <c r="Q55" s="2">
        <f>IF(OR(P55="",D55=""),"",P55/D55)</f>
        <v/>
      </c>
      <c r="R55" s="2">
        <f>IF(K55&lt;&gt;"",K55,RepRoutePerDay)</f>
        <v/>
      </c>
      <c r="S55" s="2">
        <f>IF(Q55="","",ROUND(Q55*R55,1))</f>
        <v/>
      </c>
      <c r="T55" s="2">
        <f>IF(E55="",PenEngine,1)*IF(G55="",PenMissing,1)*IF(F55="",PenMissing,1)*IF(D55="",PenMissing,1)</f>
        <v/>
      </c>
      <c r="U55" s="2">
        <f>IFERROR(IF(S55="","",100*(MAX($S$2:$S$127)-S55)/(MAX($S$2:$S$127)-MIN($S$2:$S$127))),"")</f>
        <v/>
      </c>
      <c r="V55" s="2">
        <f>IF(U55="","",ROUND(U55*T55,1))</f>
        <v/>
      </c>
      <c r="W55" t="inlineStr">
        <is>
          <t>no_engine_data, missing_crew_count, missing_price_per_day</t>
        </is>
      </c>
    </row>
    <row r="56">
      <c r="A56" s="2">
        <f>IF(V56="","",RANK(V56,$V$2:$V$127))</f>
        <v/>
      </c>
      <c r="B56" t="inlineStr">
        <is>
          <t>Passion</t>
        </is>
      </c>
      <c r="C56" t="inlineStr">
        <is>
          <t>Yacht</t>
        </is>
      </c>
      <c r="D56" s="3" t="n">
        <v>14</v>
      </c>
      <c r="E56" s="3" t="n">
        <v>2000</v>
      </c>
      <c r="F56" s="3" t="n">
        <v>10</v>
      </c>
      <c r="G56" s="3" t="n">
        <v>48</v>
      </c>
      <c r="H56" s="3" t="n">
        <v>9</v>
      </c>
      <c r="I56" s="3" t="n"/>
      <c r="J56" s="3" t="n"/>
      <c r="K56" s="3" t="n">
        <v>32.9</v>
      </c>
      <c r="L56" s="2">
        <f>IF(I56&lt;&gt;"",I56,IF(G56&lt;&gt;"",MAX(DraftMin,DraftK*G56),""))</f>
        <v/>
      </c>
      <c r="M56" s="2">
        <f>IF(J56&lt;&gt;"",J56*GT_disp,IF(AND(G56&lt;&gt;"",H56&lt;&gt;"",L56&lt;&gt;""),G56*H56*L56*Cb*Rho_sw,""))</f>
        <v/>
      </c>
      <c r="N56" s="2">
        <f>IF(F56="","",IF(AND(M56&lt;&gt;"",E56&lt;&gt;""),MIN(M56^(2/3)*F56^3/C_adm,E56*HP_kW*Load),IF(M56&lt;&gt;"",M56^(2/3)*F56^3/C_adm,IF(E56&lt;&gt;"",E56*HP_kW*Load,""))))</f>
        <v/>
      </c>
      <c r="O56" s="2">
        <f>IF(N56="","",N56*BSFC/Rho_fuel)</f>
        <v/>
      </c>
      <c r="P56" s="2">
        <f>IF(OR(O56="",F56=""),"",O56/F56)</f>
        <v/>
      </c>
      <c r="Q56" s="2">
        <f>IF(OR(P56="",D56=""),"",P56/D56)</f>
        <v/>
      </c>
      <c r="R56" s="2">
        <f>IF(K56&lt;&gt;"",K56,RepRoutePerDay)</f>
        <v/>
      </c>
      <c r="S56" s="2">
        <f>IF(Q56="","",ROUND(Q56*R56,1))</f>
        <v/>
      </c>
      <c r="T56" s="2">
        <f>IF(E56="",PenEngine,1)*IF(G56="",PenMissing,1)*IF(F56="",PenMissing,1)*IF(D56="",PenMissing,1)</f>
        <v/>
      </c>
      <c r="U56" s="2">
        <f>IFERROR(IF(S56="","",100*(MAX($S$2:$S$127)-S56)/(MAX($S$2:$S$127)-MIN($S$2:$S$127))),"")</f>
        <v/>
      </c>
      <c r="V56" s="2">
        <f>IF(U56="","",ROUND(U56*T56,1))</f>
        <v/>
      </c>
      <c r="W56" t="inlineStr"/>
    </row>
    <row r="57">
      <c r="A57" s="2">
        <f>IF(V57="","",RANK(V57,$V$2:$V$127))</f>
        <v/>
      </c>
      <c r="B57" t="inlineStr">
        <is>
          <t>Evolution</t>
        </is>
      </c>
      <c r="C57" t="inlineStr">
        <is>
          <t>Ship</t>
        </is>
      </c>
      <c r="D57" s="3" t="n">
        <v>32</v>
      </c>
      <c r="E57" s="3" t="n">
        <v>1300</v>
      </c>
      <c r="F57" s="3" t="n">
        <v>12</v>
      </c>
      <c r="G57" s="3" t="n">
        <v>60</v>
      </c>
      <c r="H57" s="3" t="n"/>
      <c r="I57" s="3" t="n"/>
      <c r="J57" s="3" t="n"/>
      <c r="K57" s="3" t="n">
        <v>39.9</v>
      </c>
      <c r="L57" s="2">
        <f>IF(I57&lt;&gt;"",I57,IF(G57&lt;&gt;"",MAX(DraftMin,DraftK*G57),""))</f>
        <v/>
      </c>
      <c r="M57" s="2">
        <f>IF(J57&lt;&gt;"",J57*GT_disp,IF(AND(G57&lt;&gt;"",H57&lt;&gt;"",L57&lt;&gt;""),G57*H57*L57*Cb*Rho_sw,""))</f>
        <v/>
      </c>
      <c r="N57" s="2">
        <f>IF(F57="","",IF(AND(M57&lt;&gt;"",E57&lt;&gt;""),MIN(M57^(2/3)*F57^3/C_adm,E57*HP_kW*Load),IF(M57&lt;&gt;"",M57^(2/3)*F57^3/C_adm,IF(E57&lt;&gt;"",E57*HP_kW*Load,""))))</f>
        <v/>
      </c>
      <c r="O57" s="2">
        <f>IF(N57="","",N57*BSFC/Rho_fuel)</f>
        <v/>
      </c>
      <c r="P57" s="2">
        <f>IF(OR(O57="",F57=""),"",O57/F57)</f>
        <v/>
      </c>
      <c r="Q57" s="2">
        <f>IF(OR(P57="",D57=""),"",P57/D57)</f>
        <v/>
      </c>
      <c r="R57" s="2">
        <f>IF(K57&lt;&gt;"",K57,RepRoutePerDay)</f>
        <v/>
      </c>
      <c r="S57" s="2">
        <f>IF(Q57="","",ROUND(Q57*R57,1))</f>
        <v/>
      </c>
      <c r="T57" s="2">
        <f>IF(E57="",PenEngine,1)*IF(G57="",PenMissing,1)*IF(F57="",PenMissing,1)*IF(D57="",PenMissing,1)</f>
        <v/>
      </c>
      <c r="U57" s="2">
        <f>IFERROR(IF(S57="","",100*(MAX($S$2:$S$127)-S57)/(MAX($S$2:$S$127)-MIN($S$2:$S$127))),"")</f>
        <v/>
      </c>
      <c r="V57" s="2">
        <f>IF(U57="","",ROUND(U57*T57,1))</f>
        <v/>
      </c>
      <c r="W57" t="inlineStr">
        <is>
          <t>length_ft_m_mismatch, missing_beam_m, missing_price_per_day</t>
        </is>
      </c>
    </row>
    <row r="58">
      <c r="A58" s="2">
        <f>IF(V58="","",RANK(V58,$V$2:$V$127))</f>
        <v/>
      </c>
      <c r="B58" t="inlineStr">
        <is>
          <t>Grace</t>
        </is>
      </c>
      <c r="C58" t="inlineStr">
        <is>
          <t>Ship</t>
        </is>
      </c>
      <c r="D58" s="3" t="n">
        <v>16</v>
      </c>
      <c r="E58" s="3" t="n">
        <v>1000</v>
      </c>
      <c r="F58" s="3" t="n">
        <v>12</v>
      </c>
      <c r="G58" s="3" t="n">
        <v>44</v>
      </c>
      <c r="H58" s="3" t="n">
        <v>7</v>
      </c>
      <c r="I58" s="3" t="n"/>
      <c r="J58" s="3" t="n"/>
      <c r="K58" s="3" t="n">
        <v>35.2</v>
      </c>
      <c r="L58" s="2">
        <f>IF(I58&lt;&gt;"",I58,IF(G58&lt;&gt;"",MAX(DraftMin,DraftK*G58),""))</f>
        <v/>
      </c>
      <c r="M58" s="2">
        <f>IF(J58&lt;&gt;"",J58*GT_disp,IF(AND(G58&lt;&gt;"",H58&lt;&gt;"",L58&lt;&gt;""),G58*H58*L58*Cb*Rho_sw,""))</f>
        <v/>
      </c>
      <c r="N58" s="2">
        <f>IF(F58="","",IF(AND(M58&lt;&gt;"",E58&lt;&gt;""),MIN(M58^(2/3)*F58^3/C_adm,E58*HP_kW*Load),IF(M58&lt;&gt;"",M58^(2/3)*F58^3/C_adm,IF(E58&lt;&gt;"",E58*HP_kW*Load,""))))</f>
        <v/>
      </c>
      <c r="O58" s="2">
        <f>IF(N58="","",N58*BSFC/Rho_fuel)</f>
        <v/>
      </c>
      <c r="P58" s="2">
        <f>IF(OR(O58="",F58=""),"",O58/F58)</f>
        <v/>
      </c>
      <c r="Q58" s="2">
        <f>IF(OR(P58="",D58=""),"",P58/D58)</f>
        <v/>
      </c>
      <c r="R58" s="2">
        <f>IF(K58&lt;&gt;"",K58,RepRoutePerDay)</f>
        <v/>
      </c>
      <c r="S58" s="2">
        <f>IF(Q58="","",ROUND(Q58*R58,1))</f>
        <v/>
      </c>
      <c r="T58" s="2">
        <f>IF(E58="",PenEngine,1)*IF(G58="",PenMissing,1)*IF(F58="",PenMissing,1)*IF(D58="",PenMissing,1)</f>
        <v/>
      </c>
      <c r="U58" s="2">
        <f>IFERROR(IF(S58="","",100*(MAX($S$2:$S$127)-S58)/(MAX($S$2:$S$127)-MIN($S$2:$S$127))),"")</f>
        <v/>
      </c>
      <c r="V58" s="2">
        <f>IF(U58="","",ROUND(U58*T58,1))</f>
        <v/>
      </c>
      <c r="W58" t="inlineStr">
        <is>
          <t>missing_price_per_day</t>
        </is>
      </c>
    </row>
    <row r="59">
      <c r="A59" s="2">
        <f>IF(V59="","",RANK(V59,$V$2:$V$127))</f>
        <v/>
      </c>
      <c r="B59" t="inlineStr">
        <is>
          <t>Samba</t>
        </is>
      </c>
      <c r="C59" t="inlineStr">
        <is>
          <t>Motorsailer</t>
        </is>
      </c>
      <c r="D59" s="3" t="n">
        <v>14</v>
      </c>
      <c r="E59" s="3" t="n">
        <v>440</v>
      </c>
      <c r="F59" s="3" t="n">
        <v>8.5</v>
      </c>
      <c r="G59" s="3" t="n"/>
      <c r="H59" s="3" t="n"/>
      <c r="I59" s="3" t="n"/>
      <c r="J59" s="3" t="n"/>
      <c r="K59" s="3" t="n">
        <v>39</v>
      </c>
      <c r="L59" s="2">
        <f>IF(I59&lt;&gt;"",I59,IF(G59&lt;&gt;"",MAX(DraftMin,DraftK*G59),""))</f>
        <v/>
      </c>
      <c r="M59" s="2">
        <f>IF(J59&lt;&gt;"",J59*GT_disp,IF(AND(G59&lt;&gt;"",H59&lt;&gt;"",L59&lt;&gt;""),G59*H59*L59*Cb*Rho_sw,""))</f>
        <v/>
      </c>
      <c r="N59" s="2">
        <f>IF(F59="","",IF(AND(M59&lt;&gt;"",E59&lt;&gt;""),MIN(M59^(2/3)*F59^3/C_adm,E59*HP_kW*Load),IF(M59&lt;&gt;"",M59^(2/3)*F59^3/C_adm,IF(E59&lt;&gt;"",E59*HP_kW*Load,""))))</f>
        <v/>
      </c>
      <c r="O59" s="2">
        <f>IF(N59="","",N59*BSFC/Rho_fuel)</f>
        <v/>
      </c>
      <c r="P59" s="2">
        <f>IF(OR(O59="",F59=""),"",O59/F59)</f>
        <v/>
      </c>
      <c r="Q59" s="2">
        <f>IF(OR(P59="",D59=""),"",P59/D59)</f>
        <v/>
      </c>
      <c r="R59" s="2">
        <f>IF(K59&lt;&gt;"",K59,RepRoutePerDay)</f>
        <v/>
      </c>
      <c r="S59" s="2">
        <f>IF(Q59="","",ROUND(Q59*R59,1))</f>
        <v/>
      </c>
      <c r="T59" s="2">
        <f>IF(E59="",PenEngine,1)*IF(G59="",PenMissing,1)*IF(F59="",PenMissing,1)*IF(D59="",PenMissing,1)</f>
        <v/>
      </c>
      <c r="U59" s="2">
        <f>IFERROR(IF(S59="","",100*(MAX($S$2:$S$127)-S59)/(MAX($S$2:$S$127)-MIN($S$2:$S$127))),"")</f>
        <v/>
      </c>
      <c r="V59" s="2">
        <f>IF(U59="","",ROUND(U59*T59,1))</f>
        <v/>
      </c>
      <c r="W59" t="inlineStr">
        <is>
          <t>length_out_of_range, length_ft_m_mismatch, missing_length_m, missing_beam_m</t>
        </is>
      </c>
    </row>
    <row r="60">
      <c r="A60" s="2">
        <f>IF(V60="","",RANK(V60,$V$2:$V$127))</f>
        <v/>
      </c>
      <c r="B60" t="inlineStr">
        <is>
          <t>Tip Top Ii</t>
        </is>
      </c>
      <c r="C60" t="inlineStr">
        <is>
          <t>Catamaran</t>
        </is>
      </c>
      <c r="D60" s="3" t="n">
        <v>16</v>
      </c>
      <c r="E60" s="3" t="n">
        <v>700</v>
      </c>
      <c r="F60" s="3" t="n">
        <v>12</v>
      </c>
      <c r="G60" s="3" t="n">
        <v>31.7</v>
      </c>
      <c r="H60" s="3" t="n">
        <v>12</v>
      </c>
      <c r="I60" s="3" t="n"/>
      <c r="J60" s="3" t="n"/>
      <c r="K60" s="3" t="n">
        <v>40.5</v>
      </c>
      <c r="L60" s="2">
        <f>IF(I60&lt;&gt;"",I60,IF(G60&lt;&gt;"",MAX(DraftMin,DraftK*G60),""))</f>
        <v/>
      </c>
      <c r="M60" s="2">
        <f>IF(J60&lt;&gt;"",J60*GT_disp,IF(AND(G60&lt;&gt;"",H60&lt;&gt;"",L60&lt;&gt;""),G60*H60*L60*Cb*Rho_sw,""))</f>
        <v/>
      </c>
      <c r="N60" s="2">
        <f>IF(F60="","",IF(AND(M60&lt;&gt;"",E60&lt;&gt;""),MIN(M60^(2/3)*F60^3/C_adm,E60*HP_kW*Load),IF(M60&lt;&gt;"",M60^(2/3)*F60^3/C_adm,IF(E60&lt;&gt;"",E60*HP_kW*Load,""))))</f>
        <v/>
      </c>
      <c r="O60" s="2">
        <f>IF(N60="","",N60*BSFC/Rho_fuel)</f>
        <v/>
      </c>
      <c r="P60" s="2">
        <f>IF(OR(O60="",F60=""),"",O60/F60)</f>
        <v/>
      </c>
      <c r="Q60" s="2">
        <f>IF(OR(P60="",D60=""),"",P60/D60)</f>
        <v/>
      </c>
      <c r="R60" s="2">
        <f>IF(K60&lt;&gt;"",K60,RepRoutePerDay)</f>
        <v/>
      </c>
      <c r="S60" s="2">
        <f>IF(Q60="","",ROUND(Q60*R60,1))</f>
        <v/>
      </c>
      <c r="T60" s="2">
        <f>IF(E60="",PenEngine,1)*IF(G60="",PenMissing,1)*IF(F60="",PenMissing,1)*IF(D60="",PenMissing,1)</f>
        <v/>
      </c>
      <c r="U60" s="2">
        <f>IFERROR(IF(S60="","",100*(MAX($S$2:$S$127)-S60)/(MAX($S$2:$S$127)-MIN($S$2:$S$127))),"")</f>
        <v/>
      </c>
      <c r="V60" s="2">
        <f>IF(U60="","",ROUND(U60*T60,1))</f>
        <v/>
      </c>
      <c r="W60" t="inlineStr"/>
    </row>
    <row r="61">
      <c r="A61" s="2">
        <f>IF(V61="","",RANK(V61,$V$2:$V$127))</f>
        <v/>
      </c>
      <c r="B61" t="inlineStr">
        <is>
          <t>Endemic</t>
        </is>
      </c>
      <c r="C61" t="inlineStr">
        <is>
          <t>Catamaran</t>
        </is>
      </c>
      <c r="D61" s="3" t="n">
        <v>16</v>
      </c>
      <c r="E61" s="3" t="n">
        <v>1000</v>
      </c>
      <c r="F61" s="3" t="n">
        <v>12</v>
      </c>
      <c r="G61" s="3" t="n">
        <v>35</v>
      </c>
      <c r="H61" s="3" t="n">
        <v>14</v>
      </c>
      <c r="I61" s="3" t="n">
        <v>1.85</v>
      </c>
      <c r="J61" s="3" t="n"/>
      <c r="K61" s="3" t="n">
        <v>40.8</v>
      </c>
      <c r="L61" s="2">
        <f>IF(I61&lt;&gt;"",I61,IF(G61&lt;&gt;"",MAX(DraftMin,DraftK*G61),""))</f>
        <v/>
      </c>
      <c r="M61" s="2">
        <f>IF(J61&lt;&gt;"",J61*GT_disp,IF(AND(G61&lt;&gt;"",H61&lt;&gt;"",L61&lt;&gt;""),G61*H61*L61*Cb*Rho_sw,""))</f>
        <v/>
      </c>
      <c r="N61" s="2">
        <f>IF(F61="","",IF(AND(M61&lt;&gt;"",E61&lt;&gt;""),MIN(M61^(2/3)*F61^3/C_adm,E61*HP_kW*Load),IF(M61&lt;&gt;"",M61^(2/3)*F61^3/C_adm,IF(E61&lt;&gt;"",E61*HP_kW*Load,""))))</f>
        <v/>
      </c>
      <c r="O61" s="2">
        <f>IF(N61="","",N61*BSFC/Rho_fuel)</f>
        <v/>
      </c>
      <c r="P61" s="2">
        <f>IF(OR(O61="",F61=""),"",O61/F61)</f>
        <v/>
      </c>
      <c r="Q61" s="2">
        <f>IF(OR(P61="",D61=""),"",P61/D61)</f>
        <v/>
      </c>
      <c r="R61" s="2">
        <f>IF(K61&lt;&gt;"",K61,RepRoutePerDay)</f>
        <v/>
      </c>
      <c r="S61" s="2">
        <f>IF(Q61="","",ROUND(Q61*R61,1))</f>
        <v/>
      </c>
      <c r="T61" s="2">
        <f>IF(E61="",PenEngine,1)*IF(G61="",PenMissing,1)*IF(F61="",PenMissing,1)*IF(D61="",PenMissing,1)</f>
        <v/>
      </c>
      <c r="U61" s="2">
        <f>IFERROR(IF(S61="","",100*(MAX($S$2:$S$127)-S61)/(MAX($S$2:$S$127)-MIN($S$2:$S$127))),"")</f>
        <v/>
      </c>
      <c r="V61" s="2">
        <f>IF(U61="","",ROUND(U61*T61,1))</f>
        <v/>
      </c>
      <c r="W61" t="inlineStr"/>
    </row>
    <row r="62">
      <c r="A62" s="2">
        <f>IF(V62="","",RANK(V62,$V$2:$V$127))</f>
        <v/>
      </c>
      <c r="B62" t="inlineStr">
        <is>
          <t>Galaxy</t>
        </is>
      </c>
      <c r="C62" t="inlineStr">
        <is>
          <t>Yacht</t>
        </is>
      </c>
      <c r="D62" s="3" t="n">
        <v>16</v>
      </c>
      <c r="E62" s="3" t="n">
        <v>880</v>
      </c>
      <c r="F62" s="3" t="n">
        <v>12</v>
      </c>
      <c r="G62" s="3" t="n">
        <v>35</v>
      </c>
      <c r="H62" s="3" t="n"/>
      <c r="I62" s="3" t="n">
        <v>1.8</v>
      </c>
      <c r="J62" s="3" t="n"/>
      <c r="K62" s="3" t="n">
        <v>33.9</v>
      </c>
      <c r="L62" s="2">
        <f>IF(I62&lt;&gt;"",I62,IF(G62&lt;&gt;"",MAX(DraftMin,DraftK*G62),""))</f>
        <v/>
      </c>
      <c r="M62" s="2">
        <f>IF(J62&lt;&gt;"",J62*GT_disp,IF(AND(G62&lt;&gt;"",H62&lt;&gt;"",L62&lt;&gt;""),G62*H62*L62*Cb*Rho_sw,""))</f>
        <v/>
      </c>
      <c r="N62" s="2">
        <f>IF(F62="","",IF(AND(M62&lt;&gt;"",E62&lt;&gt;""),MIN(M62^(2/3)*F62^3/C_adm,E62*HP_kW*Load),IF(M62&lt;&gt;"",M62^(2/3)*F62^3/C_adm,IF(E62&lt;&gt;"",E62*HP_kW*Load,""))))</f>
        <v/>
      </c>
      <c r="O62" s="2">
        <f>IF(N62="","",N62*BSFC/Rho_fuel)</f>
        <v/>
      </c>
      <c r="P62" s="2">
        <f>IF(OR(O62="",F62=""),"",O62/F62)</f>
        <v/>
      </c>
      <c r="Q62" s="2">
        <f>IF(OR(P62="",D62=""),"",P62/D62)</f>
        <v/>
      </c>
      <c r="R62" s="2">
        <f>IF(K62&lt;&gt;"",K62,RepRoutePerDay)</f>
        <v/>
      </c>
      <c r="S62" s="2">
        <f>IF(Q62="","",ROUND(Q62*R62,1))</f>
        <v/>
      </c>
      <c r="T62" s="2">
        <f>IF(E62="",PenEngine,1)*IF(G62="",PenMissing,1)*IF(F62="",PenMissing,1)*IF(D62="",PenMissing,1)</f>
        <v/>
      </c>
      <c r="U62" s="2">
        <f>IFERROR(IF(S62="","",100*(MAX($S$2:$S$127)-S62)/(MAX($S$2:$S$127)-MIN($S$2:$S$127))),"")</f>
        <v/>
      </c>
      <c r="V62" s="2">
        <f>IF(U62="","",ROUND(U62*T62,1))</f>
        <v/>
      </c>
      <c r="W62" t="inlineStr">
        <is>
          <t>length_ft_m_mismatch, missing_beam_m</t>
        </is>
      </c>
    </row>
    <row r="63">
      <c r="A63" s="2">
        <f>IF(V63="","",RANK(V63,$V$2:$V$127))</f>
        <v/>
      </c>
      <c r="B63" t="inlineStr">
        <is>
          <t>Galaxy Sirius</t>
        </is>
      </c>
      <c r="C63" t="inlineStr">
        <is>
          <t>Catamaran</t>
        </is>
      </c>
      <c r="D63" s="3" t="n">
        <v>16</v>
      </c>
      <c r="E63" s="3" t="n">
        <v>900</v>
      </c>
      <c r="F63" s="3" t="n">
        <v>12</v>
      </c>
      <c r="G63" s="3" t="n"/>
      <c r="H63" s="3" t="n"/>
      <c r="I63" s="3" t="n"/>
      <c r="J63" s="3" t="n"/>
      <c r="K63" s="3" t="n"/>
      <c r="L63" s="2">
        <f>IF(I63&lt;&gt;"",I63,IF(G63&lt;&gt;"",MAX(DraftMin,DraftK*G63),""))</f>
        <v/>
      </c>
      <c r="M63" s="2">
        <f>IF(J63&lt;&gt;"",J63*GT_disp,IF(AND(G63&lt;&gt;"",H63&lt;&gt;"",L63&lt;&gt;""),G63*H63*L63*Cb*Rho_sw,""))</f>
        <v/>
      </c>
      <c r="N63" s="2">
        <f>IF(F63="","",IF(AND(M63&lt;&gt;"",E63&lt;&gt;""),MIN(M63^(2/3)*F63^3/C_adm,E63*HP_kW*Load),IF(M63&lt;&gt;"",M63^(2/3)*F63^3/C_adm,IF(E63&lt;&gt;"",E63*HP_kW*Load,""))))</f>
        <v/>
      </c>
      <c r="O63" s="2">
        <f>IF(N63="","",N63*BSFC/Rho_fuel)</f>
        <v/>
      </c>
      <c r="P63" s="2">
        <f>IF(OR(O63="",F63=""),"",O63/F63)</f>
        <v/>
      </c>
      <c r="Q63" s="2">
        <f>IF(OR(P63="",D63=""),"",P63/D63)</f>
        <v/>
      </c>
      <c r="R63" s="2">
        <f>IF(K63&lt;&gt;"",K63,RepRoutePerDay)</f>
        <v/>
      </c>
      <c r="S63" s="2">
        <f>IF(Q63="","",ROUND(Q63*R63,1))</f>
        <v/>
      </c>
      <c r="T63" s="2">
        <f>IF(E63="",PenEngine,1)*IF(G63="",PenMissing,1)*IF(F63="",PenMissing,1)*IF(D63="",PenMissing,1)</f>
        <v/>
      </c>
      <c r="U63" s="2">
        <f>IFERROR(IF(S63="","",100*(MAX($S$2:$S$127)-S63)/(MAX($S$2:$S$127)-MIN($S$2:$S$127))),"")</f>
        <v/>
      </c>
      <c r="V63" s="2">
        <f>IF(U63="","",ROUND(U63*T63,1))</f>
        <v/>
      </c>
      <c r="W63" t="inlineStr">
        <is>
          <t>length_out_of_range, length_out_of_range, missing_length_m, missing_beam_m</t>
        </is>
      </c>
    </row>
    <row r="64">
      <c r="A64" s="2">
        <f>IF(V64="","",RANK(V64,$V$2:$V$127))</f>
        <v/>
      </c>
      <c r="B64" t="inlineStr">
        <is>
          <t>Tiburon Explorer</t>
        </is>
      </c>
      <c r="C64" t="inlineStr">
        <is>
          <t>Yacht</t>
        </is>
      </c>
      <c r="D64" s="3" t="n">
        <v>16</v>
      </c>
      <c r="E64" s="3" t="n"/>
      <c r="F64" s="3" t="n">
        <v>12</v>
      </c>
      <c r="G64" s="3" t="n">
        <v>38.1</v>
      </c>
      <c r="H64" s="3" t="n">
        <v>5</v>
      </c>
      <c r="I64" s="3" t="n">
        <v>7.5</v>
      </c>
      <c r="J64" s="3" t="n"/>
      <c r="K64" s="3" t="n"/>
      <c r="L64" s="2">
        <f>IF(I64&lt;&gt;"",I64,IF(G64&lt;&gt;"",MAX(DraftMin,DraftK*G64),""))</f>
        <v/>
      </c>
      <c r="M64" s="2">
        <f>IF(J64&lt;&gt;"",J64*GT_disp,IF(AND(G64&lt;&gt;"",H64&lt;&gt;"",L64&lt;&gt;""),G64*H64*L64*Cb*Rho_sw,""))</f>
        <v/>
      </c>
      <c r="N64" s="2">
        <f>IF(F64="","",IF(AND(M64&lt;&gt;"",E64&lt;&gt;""),MIN(M64^(2/3)*F64^3/C_adm,E64*HP_kW*Load),IF(M64&lt;&gt;"",M64^(2/3)*F64^3/C_adm,IF(E64&lt;&gt;"",E64*HP_kW*Load,""))))</f>
        <v/>
      </c>
      <c r="O64" s="2">
        <f>IF(N64="","",N64*BSFC/Rho_fuel)</f>
        <v/>
      </c>
      <c r="P64" s="2">
        <f>IF(OR(O64="",F64=""),"",O64/F64)</f>
        <v/>
      </c>
      <c r="Q64" s="2">
        <f>IF(OR(P64="",D64=""),"",P64/D64)</f>
        <v/>
      </c>
      <c r="R64" s="2">
        <f>IF(K64&lt;&gt;"",K64,RepRoutePerDay)</f>
        <v/>
      </c>
      <c r="S64" s="2">
        <f>IF(Q64="","",ROUND(Q64*R64,1))</f>
        <v/>
      </c>
      <c r="T64" s="2">
        <f>IF(E64="",PenEngine,1)*IF(G64="",PenMissing,1)*IF(F64="",PenMissing,1)*IF(D64="",PenMissing,1)</f>
        <v/>
      </c>
      <c r="U64" s="2">
        <f>IFERROR(IF(S64="","",100*(MAX($S$2:$S$127)-S64)/(MAX($S$2:$S$127)-MIN($S$2:$S$127))),"")</f>
        <v/>
      </c>
      <c r="V64" s="2">
        <f>IF(U64="","",ROUND(U64*T64,1))</f>
        <v/>
      </c>
      <c r="W64" t="inlineStr">
        <is>
          <t>length_ft_m_mismatch, missing_price_per_day</t>
        </is>
      </c>
    </row>
    <row r="65">
      <c r="A65" s="2">
        <f>IF(V65="","",RANK(V65,$V$2:$V$127))</f>
        <v/>
      </c>
      <c r="B65" t="inlineStr">
        <is>
          <t>Cormorant</t>
        </is>
      </c>
      <c r="C65" t="inlineStr">
        <is>
          <t>Motor Catamaran</t>
        </is>
      </c>
      <c r="D65" s="3" t="n">
        <v>16</v>
      </c>
      <c r="E65" s="3" t="n"/>
      <c r="F65" s="3" t="n">
        <v>14</v>
      </c>
      <c r="G65" s="3" t="n">
        <v>33</v>
      </c>
      <c r="H65" s="3" t="n">
        <v>12</v>
      </c>
      <c r="I65" s="3" t="n"/>
      <c r="J65" s="3" t="n"/>
      <c r="K65" s="3" t="n">
        <v>33.2</v>
      </c>
      <c r="L65" s="2">
        <f>IF(I65&lt;&gt;"",I65,IF(G65&lt;&gt;"",MAX(DraftMin,DraftK*G65),""))</f>
        <v/>
      </c>
      <c r="M65" s="2">
        <f>IF(J65&lt;&gt;"",J65*GT_disp,IF(AND(G65&lt;&gt;"",H65&lt;&gt;"",L65&lt;&gt;""),G65*H65*L65*Cb*Rho_sw,""))</f>
        <v/>
      </c>
      <c r="N65" s="2">
        <f>IF(F65="","",IF(AND(M65&lt;&gt;"",E65&lt;&gt;""),MIN(M65^(2/3)*F65^3/C_adm,E65*HP_kW*Load),IF(M65&lt;&gt;"",M65^(2/3)*F65^3/C_adm,IF(E65&lt;&gt;"",E65*HP_kW*Load,""))))</f>
        <v/>
      </c>
      <c r="O65" s="2">
        <f>IF(N65="","",N65*BSFC/Rho_fuel)</f>
        <v/>
      </c>
      <c r="P65" s="2">
        <f>IF(OR(O65="",F65=""),"",O65/F65)</f>
        <v/>
      </c>
      <c r="Q65" s="2">
        <f>IF(OR(P65="",D65=""),"",P65/D65)</f>
        <v/>
      </c>
      <c r="R65" s="2">
        <f>IF(K65&lt;&gt;"",K65,RepRoutePerDay)</f>
        <v/>
      </c>
      <c r="S65" s="2">
        <f>IF(Q65="","",ROUND(Q65*R65,1))</f>
        <v/>
      </c>
      <c r="T65" s="2">
        <f>IF(E65="",PenEngine,1)*IF(G65="",PenMissing,1)*IF(F65="",PenMissing,1)*IF(D65="",PenMissing,1)</f>
        <v/>
      </c>
      <c r="U65" s="2">
        <f>IFERROR(IF(S65="","",100*(MAX($S$2:$S$127)-S65)/(MAX($S$2:$S$127)-MIN($S$2:$S$127))),"")</f>
        <v/>
      </c>
      <c r="V65" s="2">
        <f>IF(U65="","",ROUND(U65*T65,1))</f>
        <v/>
      </c>
      <c r="W65" t="inlineStr">
        <is>
          <t>no_engine_data, missing_crew_count, missing_price_per_day</t>
        </is>
      </c>
    </row>
    <row r="66">
      <c r="A66" s="2">
        <f>IF(V66="","",RANK(V66,$V$2:$V$127))</f>
        <v/>
      </c>
      <c r="B66" t="inlineStr">
        <is>
          <t>Grand Queen Beatriz</t>
        </is>
      </c>
      <c r="C66" t="inlineStr">
        <is>
          <t>Yacht</t>
        </is>
      </c>
      <c r="D66" s="3" t="n">
        <v>16</v>
      </c>
      <c r="E66" s="3" t="n"/>
      <c r="F66" s="3" t="n">
        <v>10</v>
      </c>
      <c r="G66" s="3" t="n">
        <v>41</v>
      </c>
      <c r="H66" s="3" t="n">
        <v>20</v>
      </c>
      <c r="I66" s="3" t="n"/>
      <c r="J66" s="3" t="n"/>
      <c r="K66" s="3" t="n"/>
      <c r="L66" s="2">
        <f>IF(I66&lt;&gt;"",I66,IF(G66&lt;&gt;"",MAX(DraftMin,DraftK*G66),""))</f>
        <v/>
      </c>
      <c r="M66" s="2">
        <f>IF(J66&lt;&gt;"",J66*GT_disp,IF(AND(G66&lt;&gt;"",H66&lt;&gt;"",L66&lt;&gt;""),G66*H66*L66*Cb*Rho_sw,""))</f>
        <v/>
      </c>
      <c r="N66" s="2">
        <f>IF(F66="","",IF(AND(M66&lt;&gt;"",E66&lt;&gt;""),MIN(M66^(2/3)*F66^3/C_adm,E66*HP_kW*Load),IF(M66&lt;&gt;"",M66^(2/3)*F66^3/C_adm,IF(E66&lt;&gt;"",E66*HP_kW*Load,""))))</f>
        <v/>
      </c>
      <c r="O66" s="2">
        <f>IF(N66="","",N66*BSFC/Rho_fuel)</f>
        <v/>
      </c>
      <c r="P66" s="2">
        <f>IF(OR(O66="",F66=""),"",O66/F66)</f>
        <v/>
      </c>
      <c r="Q66" s="2">
        <f>IF(OR(P66="",D66=""),"",P66/D66)</f>
        <v/>
      </c>
      <c r="R66" s="2">
        <f>IF(K66&lt;&gt;"",K66,RepRoutePerDay)</f>
        <v/>
      </c>
      <c r="S66" s="2">
        <f>IF(Q66="","",ROUND(Q66*R66,1))</f>
        <v/>
      </c>
      <c r="T66" s="2">
        <f>IF(E66="",PenEngine,1)*IF(G66="",PenMissing,1)*IF(F66="",PenMissing,1)*IF(D66="",PenMissing,1)</f>
        <v/>
      </c>
      <c r="U66" s="2">
        <f>IFERROR(IF(S66="","",100*(MAX($S$2:$S$127)-S66)/(MAX($S$2:$S$127)-MIN($S$2:$S$127))),"")</f>
        <v/>
      </c>
      <c r="V66" s="2">
        <f>IF(U66="","",ROUND(U66*T66,1))</f>
        <v/>
      </c>
      <c r="W66" t="inlineStr">
        <is>
          <t>length_ft_m_mismatch, no_engine_data</t>
        </is>
      </c>
    </row>
    <row r="67">
      <c r="A67" s="2">
        <f>IF(V67="","",RANK(V67,$V$2:$V$127))</f>
        <v/>
      </c>
      <c r="B67" t="inlineStr">
        <is>
          <t>Koln</t>
        </is>
      </c>
      <c r="C67" t="inlineStr">
        <is>
          <t>Yacht</t>
        </is>
      </c>
      <c r="D67" s="3" t="n">
        <v>16</v>
      </c>
      <c r="E67" s="3" t="n">
        <v>884</v>
      </c>
      <c r="F67" s="3" t="n">
        <v>11</v>
      </c>
      <c r="G67" s="3" t="n">
        <v>31</v>
      </c>
      <c r="H67" s="3" t="n">
        <v>7</v>
      </c>
      <c r="I67" s="3" t="n">
        <v>52</v>
      </c>
      <c r="J67" s="3" t="n"/>
      <c r="K67" s="3" t="n"/>
      <c r="L67" s="2">
        <f>IF(I67&lt;&gt;"",I67,IF(G67&lt;&gt;"",MAX(DraftMin,DraftK*G67),""))</f>
        <v/>
      </c>
      <c r="M67" s="2">
        <f>IF(J67&lt;&gt;"",J67*GT_disp,IF(AND(G67&lt;&gt;"",H67&lt;&gt;"",L67&lt;&gt;""),G67*H67*L67*Cb*Rho_sw,""))</f>
        <v/>
      </c>
      <c r="N67" s="2">
        <f>IF(F67="","",IF(AND(M67&lt;&gt;"",E67&lt;&gt;""),MIN(M67^(2/3)*F67^3/C_adm,E67*HP_kW*Load),IF(M67&lt;&gt;"",M67^(2/3)*F67^3/C_adm,IF(E67&lt;&gt;"",E67*HP_kW*Load,""))))</f>
        <v/>
      </c>
      <c r="O67" s="2">
        <f>IF(N67="","",N67*BSFC/Rho_fuel)</f>
        <v/>
      </c>
      <c r="P67" s="2">
        <f>IF(OR(O67="",F67=""),"",O67/F67)</f>
        <v/>
      </c>
      <c r="Q67" s="2">
        <f>IF(OR(P67="",D67=""),"",P67/D67)</f>
        <v/>
      </c>
      <c r="R67" s="2">
        <f>IF(K67&lt;&gt;"",K67,RepRoutePerDay)</f>
        <v/>
      </c>
      <c r="S67" s="2">
        <f>IF(Q67="","",ROUND(Q67*R67,1))</f>
        <v/>
      </c>
      <c r="T67" s="2">
        <f>IF(E67="",PenEngine,1)*IF(G67="",PenMissing,1)*IF(F67="",PenMissing,1)*IF(D67="",PenMissing,1)</f>
        <v/>
      </c>
      <c r="U67" s="2">
        <f>IFERROR(IF(S67="","",100*(MAX($S$2:$S$127)-S67)/(MAX($S$2:$S$127)-MIN($S$2:$S$127))),"")</f>
        <v/>
      </c>
      <c r="V67" s="2">
        <f>IF(U67="","",ROUND(U67*T67,1))</f>
        <v/>
      </c>
      <c r="W67" t="inlineStr"/>
    </row>
    <row r="68">
      <c r="A68" s="2">
        <f>IF(V68="","",RANK(V68,$V$2:$V$127))</f>
        <v/>
      </c>
      <c r="B68" t="inlineStr">
        <is>
          <t>Nortada</t>
        </is>
      </c>
      <c r="C68" t="inlineStr">
        <is>
          <t>Yacht</t>
        </is>
      </c>
      <c r="D68" s="3" t="n">
        <v>8</v>
      </c>
      <c r="E68" s="3" t="n">
        <v>510</v>
      </c>
      <c r="F68" s="3" t="n">
        <v>12</v>
      </c>
      <c r="G68" s="3" t="n">
        <v>25.9</v>
      </c>
      <c r="H68" s="3" t="n"/>
      <c r="I68" s="3" t="n"/>
      <c r="J68" s="3" t="n"/>
      <c r="K68" s="3" t="n"/>
      <c r="L68" s="2">
        <f>IF(I68&lt;&gt;"",I68,IF(G68&lt;&gt;"",MAX(DraftMin,DraftK*G68),""))</f>
        <v/>
      </c>
      <c r="M68" s="2">
        <f>IF(J68&lt;&gt;"",J68*GT_disp,IF(AND(G68&lt;&gt;"",H68&lt;&gt;"",L68&lt;&gt;""),G68*H68*L68*Cb*Rho_sw,""))</f>
        <v/>
      </c>
      <c r="N68" s="2">
        <f>IF(F68="","",IF(AND(M68&lt;&gt;"",E68&lt;&gt;""),MIN(M68^(2/3)*F68^3/C_adm,E68*HP_kW*Load),IF(M68&lt;&gt;"",M68^(2/3)*F68^3/C_adm,IF(E68&lt;&gt;"",E68*HP_kW*Load,""))))</f>
        <v/>
      </c>
      <c r="O68" s="2">
        <f>IF(N68="","",N68*BSFC/Rho_fuel)</f>
        <v/>
      </c>
      <c r="P68" s="2">
        <f>IF(OR(O68="",F68=""),"",O68/F68)</f>
        <v/>
      </c>
      <c r="Q68" s="2">
        <f>IF(OR(P68="",D68=""),"",P68/D68)</f>
        <v/>
      </c>
      <c r="R68" s="2">
        <f>IF(K68&lt;&gt;"",K68,RepRoutePerDay)</f>
        <v/>
      </c>
      <c r="S68" s="2">
        <f>IF(Q68="","",ROUND(Q68*R68,1))</f>
        <v/>
      </c>
      <c r="T68" s="2">
        <f>IF(E68="",PenEngine,1)*IF(G68="",PenMissing,1)*IF(F68="",PenMissing,1)*IF(D68="",PenMissing,1)</f>
        <v/>
      </c>
      <c r="U68" s="2">
        <f>IFERROR(IF(S68="","",100*(MAX($S$2:$S$127)-S68)/(MAX($S$2:$S$127)-MIN($S$2:$S$127))),"")</f>
        <v/>
      </c>
      <c r="V68" s="2">
        <f>IF(U68="","",ROUND(U68*T68,1))</f>
        <v/>
      </c>
      <c r="W68" t="inlineStr">
        <is>
          <t>missing_beam_m, missing_price_per_day</t>
        </is>
      </c>
    </row>
    <row r="69">
      <c r="A69" s="2">
        <f>IF(V69="","",RANK(V69,$V$2:$V$127))</f>
        <v/>
      </c>
      <c r="B69" t="inlineStr">
        <is>
          <t>Anahi</t>
        </is>
      </c>
      <c r="C69" t="inlineStr">
        <is>
          <t>Catamaran</t>
        </is>
      </c>
      <c r="D69" s="3" t="n">
        <v>16</v>
      </c>
      <c r="E69" s="3" t="n">
        <v>900</v>
      </c>
      <c r="F69" s="3" t="n">
        <v>10</v>
      </c>
      <c r="G69" s="3" t="n"/>
      <c r="H69" s="3" t="n">
        <v>11</v>
      </c>
      <c r="I69" s="3" t="n"/>
      <c r="J69" s="3" t="n"/>
      <c r="K69" s="3" t="n">
        <v>33.2</v>
      </c>
      <c r="L69" s="2">
        <f>IF(I69&lt;&gt;"",I69,IF(G69&lt;&gt;"",MAX(DraftMin,DraftK*G69),""))</f>
        <v/>
      </c>
      <c r="M69" s="2">
        <f>IF(J69&lt;&gt;"",J69*GT_disp,IF(AND(G69&lt;&gt;"",H69&lt;&gt;"",L69&lt;&gt;""),G69*H69*L69*Cb*Rho_sw,""))</f>
        <v/>
      </c>
      <c r="N69" s="2">
        <f>IF(F69="","",IF(AND(M69&lt;&gt;"",E69&lt;&gt;""),MIN(M69^(2/3)*F69^3/C_adm,E69*HP_kW*Load),IF(M69&lt;&gt;"",M69^(2/3)*F69^3/C_adm,IF(E69&lt;&gt;"",E69*HP_kW*Load,""))))</f>
        <v/>
      </c>
      <c r="O69" s="2">
        <f>IF(N69="","",N69*BSFC/Rho_fuel)</f>
        <v/>
      </c>
      <c r="P69" s="2">
        <f>IF(OR(O69="",F69=""),"",O69/F69)</f>
        <v/>
      </c>
      <c r="Q69" s="2">
        <f>IF(OR(P69="",D69=""),"",P69/D69)</f>
        <v/>
      </c>
      <c r="R69" s="2">
        <f>IF(K69&lt;&gt;"",K69,RepRoutePerDay)</f>
        <v/>
      </c>
      <c r="S69" s="2">
        <f>IF(Q69="","",ROUND(Q69*R69,1))</f>
        <v/>
      </c>
      <c r="T69" s="2">
        <f>IF(E69="",PenEngine,1)*IF(G69="",PenMissing,1)*IF(F69="",PenMissing,1)*IF(D69="",PenMissing,1)</f>
        <v/>
      </c>
      <c r="U69" s="2">
        <f>IFERROR(IF(S69="","",100*(MAX($S$2:$S$127)-S69)/(MAX($S$2:$S$127)-MIN($S$2:$S$127))),"")</f>
        <v/>
      </c>
      <c r="V69" s="2">
        <f>IF(U69="","",ROUND(U69*T69,1))</f>
        <v/>
      </c>
      <c r="W69" t="inlineStr">
        <is>
          <t>length_ft_m_mismatch, length_ft_m_mismatch, missing_length_m</t>
        </is>
      </c>
    </row>
    <row r="70">
      <c r="A70" s="2">
        <f>IF(V70="","",RANK(V70,$V$2:$V$127))</f>
        <v/>
      </c>
      <c r="B70" t="inlineStr">
        <is>
          <t>Cachalote Explorer</t>
        </is>
      </c>
      <c r="C70" t="inlineStr">
        <is>
          <t>Yacht</t>
        </is>
      </c>
      <c r="D70" s="3" t="n">
        <v>16</v>
      </c>
      <c r="E70" s="3" t="n">
        <v>850</v>
      </c>
      <c r="F70" s="3" t="n">
        <v>9</v>
      </c>
      <c r="G70" s="3" t="n">
        <v>26</v>
      </c>
      <c r="H70" s="3" t="n"/>
      <c r="I70" s="3" t="n"/>
      <c r="J70" s="3" t="n"/>
      <c r="K70" s="3" t="n">
        <v>33.4</v>
      </c>
      <c r="L70" s="2">
        <f>IF(I70&lt;&gt;"",I70,IF(G70&lt;&gt;"",MAX(DraftMin,DraftK*G70),""))</f>
        <v/>
      </c>
      <c r="M70" s="2">
        <f>IF(J70&lt;&gt;"",J70*GT_disp,IF(AND(G70&lt;&gt;"",H70&lt;&gt;"",L70&lt;&gt;""),G70*H70*L70*Cb*Rho_sw,""))</f>
        <v/>
      </c>
      <c r="N70" s="2">
        <f>IF(F70="","",IF(AND(M70&lt;&gt;"",E70&lt;&gt;""),MIN(M70^(2/3)*F70^3/C_adm,E70*HP_kW*Load),IF(M70&lt;&gt;"",M70^(2/3)*F70^3/C_adm,IF(E70&lt;&gt;"",E70*HP_kW*Load,""))))</f>
        <v/>
      </c>
      <c r="O70" s="2">
        <f>IF(N70="","",N70*BSFC/Rho_fuel)</f>
        <v/>
      </c>
      <c r="P70" s="2">
        <f>IF(OR(O70="",F70=""),"",O70/F70)</f>
        <v/>
      </c>
      <c r="Q70" s="2">
        <f>IF(OR(P70="",D70=""),"",P70/D70)</f>
        <v/>
      </c>
      <c r="R70" s="2">
        <f>IF(K70&lt;&gt;"",K70,RepRoutePerDay)</f>
        <v/>
      </c>
      <c r="S70" s="2">
        <f>IF(Q70="","",ROUND(Q70*R70,1))</f>
        <v/>
      </c>
      <c r="T70" s="2">
        <f>IF(E70="",PenEngine,1)*IF(G70="",PenMissing,1)*IF(F70="",PenMissing,1)*IF(D70="",PenMissing,1)</f>
        <v/>
      </c>
      <c r="U70" s="2">
        <f>IFERROR(IF(S70="","",100*(MAX($S$2:$S$127)-S70)/(MAX($S$2:$S$127)-MIN($S$2:$S$127))),"")</f>
        <v/>
      </c>
      <c r="V70" s="2">
        <f>IF(U70="","",ROUND(U70*T70,1))</f>
        <v/>
      </c>
      <c r="W70" t="inlineStr">
        <is>
          <t>missing_beam_m</t>
        </is>
      </c>
    </row>
    <row r="71">
      <c r="A71" s="2">
        <f>IF(V71="","",RANK(V71,$V$2:$V$127))</f>
        <v/>
      </c>
      <c r="B71" t="inlineStr">
        <is>
          <t>Silver</t>
        </is>
      </c>
      <c r="C71" t="inlineStr">
        <is>
          <t>Small Ships</t>
        </is>
      </c>
      <c r="D71" s="3" t="n">
        <v>100</v>
      </c>
      <c r="E71" s="3" t="n"/>
      <c r="F71" s="3" t="n">
        <v>18</v>
      </c>
      <c r="G71" s="3" t="n">
        <v>88</v>
      </c>
      <c r="H71" s="3" t="n">
        <v>15</v>
      </c>
      <c r="I71" s="3" t="n"/>
      <c r="J71" s="3" t="n"/>
      <c r="K71" s="3" t="n"/>
      <c r="L71" s="2">
        <f>IF(I71&lt;&gt;"",I71,IF(G71&lt;&gt;"",MAX(DraftMin,DraftK*G71),""))</f>
        <v/>
      </c>
      <c r="M71" s="2">
        <f>IF(J71&lt;&gt;"",J71*GT_disp,IF(AND(G71&lt;&gt;"",H71&lt;&gt;"",L71&lt;&gt;""),G71*H71*L71*Cb*Rho_sw,""))</f>
        <v/>
      </c>
      <c r="N71" s="2">
        <f>IF(F71="","",IF(AND(M71&lt;&gt;"",E71&lt;&gt;""),MIN(M71^(2/3)*F71^3/C_adm,E71*HP_kW*Load),IF(M71&lt;&gt;"",M71^(2/3)*F71^3/C_adm,IF(E71&lt;&gt;"",E71*HP_kW*Load,""))))</f>
        <v/>
      </c>
      <c r="O71" s="2">
        <f>IF(N71="","",N71*BSFC/Rho_fuel)</f>
        <v/>
      </c>
      <c r="P71" s="2">
        <f>IF(OR(O71="",F71=""),"",O71/F71)</f>
        <v/>
      </c>
      <c r="Q71" s="2">
        <f>IF(OR(P71="",D71=""),"",P71/D71)</f>
        <v/>
      </c>
      <c r="R71" s="2">
        <f>IF(K71&lt;&gt;"",K71,RepRoutePerDay)</f>
        <v/>
      </c>
      <c r="S71" s="2">
        <f>IF(Q71="","",ROUND(Q71*R71,1))</f>
        <v/>
      </c>
      <c r="T71" s="2">
        <f>IF(E71="",PenEngine,1)*IF(G71="",PenMissing,1)*IF(F71="",PenMissing,1)*IF(D71="",PenMissing,1)</f>
        <v/>
      </c>
      <c r="U71" s="2">
        <f>IFERROR(IF(S71="","",100*(MAX($S$2:$S$127)-S71)/(MAX($S$2:$S$127)-MIN($S$2:$S$127))),"")</f>
        <v/>
      </c>
      <c r="V71" s="2">
        <f>IF(U71="","",ROUND(U71*T71,1))</f>
        <v/>
      </c>
      <c r="W71" t="inlineStr">
        <is>
          <t>no_engine_data, missing_crew_count, missing_price_per_day</t>
        </is>
      </c>
    </row>
    <row r="72">
      <c r="A72" s="2">
        <f>IF(V72="","",RANK(V72,$V$2:$V$127))</f>
        <v/>
      </c>
      <c r="B72" t="inlineStr">
        <is>
          <t>Elite</t>
        </is>
      </c>
      <c r="C72" t="inlineStr">
        <is>
          <t>Catamaran</t>
        </is>
      </c>
      <c r="D72" s="3" t="n">
        <v>16</v>
      </c>
      <c r="E72" s="3" t="n">
        <v>1000</v>
      </c>
      <c r="F72" s="3" t="n">
        <v>12</v>
      </c>
      <c r="G72" s="3" t="n"/>
      <c r="H72" s="3" t="n">
        <v>5</v>
      </c>
      <c r="I72" s="3" t="n">
        <v>1.9</v>
      </c>
      <c r="J72" s="3" t="n"/>
      <c r="K72" s="3" t="n">
        <v>39.6</v>
      </c>
      <c r="L72" s="2">
        <f>IF(I72&lt;&gt;"",I72,IF(G72&lt;&gt;"",MAX(DraftMin,DraftK*G72),""))</f>
        <v/>
      </c>
      <c r="M72" s="2">
        <f>IF(J72&lt;&gt;"",J72*GT_disp,IF(AND(G72&lt;&gt;"",H72&lt;&gt;"",L72&lt;&gt;""),G72*H72*L72*Cb*Rho_sw,""))</f>
        <v/>
      </c>
      <c r="N72" s="2">
        <f>IF(F72="","",IF(AND(M72&lt;&gt;"",E72&lt;&gt;""),MIN(M72^(2/3)*F72^3/C_adm,E72*HP_kW*Load),IF(M72&lt;&gt;"",M72^(2/3)*F72^3/C_adm,IF(E72&lt;&gt;"",E72*HP_kW*Load,""))))</f>
        <v/>
      </c>
      <c r="O72" s="2">
        <f>IF(N72="","",N72*BSFC/Rho_fuel)</f>
        <v/>
      </c>
      <c r="P72" s="2">
        <f>IF(OR(O72="",F72=""),"",O72/F72)</f>
        <v/>
      </c>
      <c r="Q72" s="2">
        <f>IF(OR(P72="",D72=""),"",P72/D72)</f>
        <v/>
      </c>
      <c r="R72" s="2">
        <f>IF(K72&lt;&gt;"",K72,RepRoutePerDay)</f>
        <v/>
      </c>
      <c r="S72" s="2">
        <f>IF(Q72="","",ROUND(Q72*R72,1))</f>
        <v/>
      </c>
      <c r="T72" s="2">
        <f>IF(E72="",PenEngine,1)*IF(G72="",PenMissing,1)*IF(F72="",PenMissing,1)*IF(D72="",PenMissing,1)</f>
        <v/>
      </c>
      <c r="U72" s="2">
        <f>IFERROR(IF(S72="","",100*(MAX($S$2:$S$127)-S72)/(MAX($S$2:$S$127)-MIN($S$2:$S$127))),"")</f>
        <v/>
      </c>
      <c r="V72" s="2">
        <f>IF(U72="","",ROUND(U72*T72,1))</f>
        <v/>
      </c>
      <c r="W72" t="inlineStr">
        <is>
          <t>length_ft_m_mismatch, length_out_of_range, missing_length_m</t>
        </is>
      </c>
    </row>
    <row r="73">
      <c r="A73" s="2">
        <f>IF(V73="","",RANK(V73,$V$2:$V$127))</f>
        <v/>
      </c>
      <c r="B73" t="inlineStr">
        <is>
          <t>Stella Maris</t>
        </is>
      </c>
      <c r="C73" t="inlineStr">
        <is>
          <t>Yacht</t>
        </is>
      </c>
      <c r="D73" s="3" t="n">
        <v>12</v>
      </c>
      <c r="E73" s="3" t="n">
        <v>1250</v>
      </c>
      <c r="F73" s="3" t="n">
        <v>14</v>
      </c>
      <c r="G73" s="3" t="n">
        <v>38</v>
      </c>
      <c r="H73" s="3" t="n">
        <v>8</v>
      </c>
      <c r="I73" s="3" t="n"/>
      <c r="J73" s="3" t="n"/>
      <c r="K73" s="3" t="n"/>
      <c r="L73" s="2">
        <f>IF(I73&lt;&gt;"",I73,IF(G73&lt;&gt;"",MAX(DraftMin,DraftK*G73),""))</f>
        <v/>
      </c>
      <c r="M73" s="2">
        <f>IF(J73&lt;&gt;"",J73*GT_disp,IF(AND(G73&lt;&gt;"",H73&lt;&gt;"",L73&lt;&gt;""),G73*H73*L73*Cb*Rho_sw,""))</f>
        <v/>
      </c>
      <c r="N73" s="2">
        <f>IF(F73="","",IF(AND(M73&lt;&gt;"",E73&lt;&gt;""),MIN(M73^(2/3)*F73^3/C_adm,E73*HP_kW*Load),IF(M73&lt;&gt;"",M73^(2/3)*F73^3/C_adm,IF(E73&lt;&gt;"",E73*HP_kW*Load,""))))</f>
        <v/>
      </c>
      <c r="O73" s="2">
        <f>IF(N73="","",N73*BSFC/Rho_fuel)</f>
        <v/>
      </c>
      <c r="P73" s="2">
        <f>IF(OR(O73="",F73=""),"",O73/F73)</f>
        <v/>
      </c>
      <c r="Q73" s="2">
        <f>IF(OR(P73="",D73=""),"",P73/D73)</f>
        <v/>
      </c>
      <c r="R73" s="2">
        <f>IF(K73&lt;&gt;"",K73,RepRoutePerDay)</f>
        <v/>
      </c>
      <c r="S73" s="2">
        <f>IF(Q73="","",ROUND(Q73*R73,1))</f>
        <v/>
      </c>
      <c r="T73" s="2">
        <f>IF(E73="",PenEngine,1)*IF(G73="",PenMissing,1)*IF(F73="",PenMissing,1)*IF(D73="",PenMissing,1)</f>
        <v/>
      </c>
      <c r="U73" s="2">
        <f>IFERROR(IF(S73="","",100*(MAX($S$2:$S$127)-S73)/(MAX($S$2:$S$127)-MIN($S$2:$S$127))),"")</f>
        <v/>
      </c>
      <c r="V73" s="2">
        <f>IF(U73="","",ROUND(U73*T73,1))</f>
        <v/>
      </c>
      <c r="W73" t="inlineStr">
        <is>
          <t>missing_price_per_day</t>
        </is>
      </c>
    </row>
    <row r="74">
      <c r="A74" s="2">
        <f>IF(V74="","",RANK(V74,$V$2:$V$127))</f>
        <v/>
      </c>
      <c r="B74" t="inlineStr">
        <is>
          <t>Cormorant II</t>
        </is>
      </c>
      <c r="C74" t="inlineStr">
        <is>
          <t>Motor Catamaran</t>
        </is>
      </c>
      <c r="D74" s="3" t="n">
        <v>16</v>
      </c>
      <c r="E74" s="3" t="n"/>
      <c r="F74" s="3" t="n">
        <v>13</v>
      </c>
      <c r="G74" s="3" t="n">
        <v>48</v>
      </c>
      <c r="H74" s="3" t="n">
        <v>14</v>
      </c>
      <c r="I74" s="3" t="n"/>
      <c r="J74" s="3" t="n"/>
      <c r="K74" s="3" t="n"/>
      <c r="L74" s="2">
        <f>IF(I74&lt;&gt;"",I74,IF(G74&lt;&gt;"",MAX(DraftMin,DraftK*G74),""))</f>
        <v/>
      </c>
      <c r="M74" s="2">
        <f>IF(J74&lt;&gt;"",J74*GT_disp,IF(AND(G74&lt;&gt;"",H74&lt;&gt;"",L74&lt;&gt;""),G74*H74*L74*Cb*Rho_sw,""))</f>
        <v/>
      </c>
      <c r="N74" s="2">
        <f>IF(F74="","",IF(AND(M74&lt;&gt;"",E74&lt;&gt;""),MIN(M74^(2/3)*F74^3/C_adm,E74*HP_kW*Load),IF(M74&lt;&gt;"",M74^(2/3)*F74^3/C_adm,IF(E74&lt;&gt;"",E74*HP_kW*Load,""))))</f>
        <v/>
      </c>
      <c r="O74" s="2">
        <f>IF(N74="","",N74*BSFC/Rho_fuel)</f>
        <v/>
      </c>
      <c r="P74" s="2">
        <f>IF(OR(O74="",F74=""),"",O74/F74)</f>
        <v/>
      </c>
      <c r="Q74" s="2">
        <f>IF(OR(P74="",D74=""),"",P74/D74)</f>
        <v/>
      </c>
      <c r="R74" s="2">
        <f>IF(K74&lt;&gt;"",K74,RepRoutePerDay)</f>
        <v/>
      </c>
      <c r="S74" s="2">
        <f>IF(Q74="","",ROUND(Q74*R74,1))</f>
        <v/>
      </c>
      <c r="T74" s="2">
        <f>IF(E74="",PenEngine,1)*IF(G74="",PenMissing,1)*IF(F74="",PenMissing,1)*IF(D74="",PenMissing,1)</f>
        <v/>
      </c>
      <c r="U74" s="2">
        <f>IFERROR(IF(S74="","",100*(MAX($S$2:$S$127)-S74)/(MAX($S$2:$S$127)-MIN($S$2:$S$127))),"")</f>
        <v/>
      </c>
      <c r="V74" s="2">
        <f>IF(U74="","",ROUND(U74*T74,1))</f>
        <v/>
      </c>
      <c r="W74" t="inlineStr">
        <is>
          <t>no_engine_data, missing_crew_count, missing_price_per_day</t>
        </is>
      </c>
    </row>
    <row r="75">
      <c r="A75" s="2">
        <f>IF(V75="","",RANK(V75,$V$2:$V$127))</f>
        <v/>
      </c>
      <c r="B75" t="inlineStr">
        <is>
          <t>Grand Daphne</t>
        </is>
      </c>
      <c r="C75" t="inlineStr">
        <is>
          <t>Yacht</t>
        </is>
      </c>
      <c r="D75" s="3" t="n">
        <v>16</v>
      </c>
      <c r="E75" s="3" t="n"/>
      <c r="F75" s="3" t="n">
        <v>12</v>
      </c>
      <c r="G75" s="3" t="n">
        <v>21</v>
      </c>
      <c r="H75" s="3" t="n">
        <v>20</v>
      </c>
      <c r="I75" s="3" t="n">
        <v>8</v>
      </c>
      <c r="J75" s="3" t="n"/>
      <c r="K75" s="3" t="n"/>
      <c r="L75" s="2">
        <f>IF(I75&lt;&gt;"",I75,IF(G75&lt;&gt;"",MAX(DraftMin,DraftK*G75),""))</f>
        <v/>
      </c>
      <c r="M75" s="2">
        <f>IF(J75&lt;&gt;"",J75*GT_disp,IF(AND(G75&lt;&gt;"",H75&lt;&gt;"",L75&lt;&gt;""),G75*H75*L75*Cb*Rho_sw,""))</f>
        <v/>
      </c>
      <c r="N75" s="2">
        <f>IF(F75="","",IF(AND(M75&lt;&gt;"",E75&lt;&gt;""),MIN(M75^(2/3)*F75^3/C_adm,E75*HP_kW*Load),IF(M75&lt;&gt;"",M75^(2/3)*F75^3/C_adm,IF(E75&lt;&gt;"",E75*HP_kW*Load,""))))</f>
        <v/>
      </c>
      <c r="O75" s="2">
        <f>IF(N75="","",N75*BSFC/Rho_fuel)</f>
        <v/>
      </c>
      <c r="P75" s="2">
        <f>IF(OR(O75="",F75=""),"",O75/F75)</f>
        <v/>
      </c>
      <c r="Q75" s="2">
        <f>IF(OR(P75="",D75=""),"",P75/D75)</f>
        <v/>
      </c>
      <c r="R75" s="2">
        <f>IF(K75&lt;&gt;"",K75,RepRoutePerDay)</f>
        <v/>
      </c>
      <c r="S75" s="2">
        <f>IF(Q75="","",ROUND(Q75*R75,1))</f>
        <v/>
      </c>
      <c r="T75" s="2">
        <f>IF(E75="",PenEngine,1)*IF(G75="",PenMissing,1)*IF(F75="",PenMissing,1)*IF(D75="",PenMissing,1)</f>
        <v/>
      </c>
      <c r="U75" s="2">
        <f>IFERROR(IF(S75="","",100*(MAX($S$2:$S$127)-S75)/(MAX($S$2:$S$127)-MIN($S$2:$S$127))),"")</f>
        <v/>
      </c>
      <c r="V75" s="2">
        <f>IF(U75="","",ROUND(U75*T75,1))</f>
        <v/>
      </c>
      <c r="W75" t="inlineStr">
        <is>
          <t>length_ft_m_mismatch</t>
        </is>
      </c>
    </row>
    <row r="76">
      <c r="A76" s="2">
        <f>IF(V76="","",RANK(V76,$V$2:$V$127))</f>
        <v/>
      </c>
      <c r="B76" t="inlineStr">
        <is>
          <t>Aqua Mare</t>
        </is>
      </c>
      <c r="C76" t="inlineStr">
        <is>
          <t>Yacht</t>
        </is>
      </c>
      <c r="D76" s="3" t="n">
        <v>16</v>
      </c>
      <c r="E76" s="3" t="n">
        <v>3956</v>
      </c>
      <c r="F76" s="3" t="n">
        <v>17</v>
      </c>
      <c r="G76" s="3" t="n">
        <v>50</v>
      </c>
      <c r="H76" s="3" t="n">
        <v>18</v>
      </c>
      <c r="I76" s="3" t="n">
        <v>3.17</v>
      </c>
      <c r="J76" s="3" t="n"/>
      <c r="K76" s="3" t="n"/>
      <c r="L76" s="2">
        <f>IF(I76&lt;&gt;"",I76,IF(G76&lt;&gt;"",MAX(DraftMin,DraftK*G76),""))</f>
        <v/>
      </c>
      <c r="M76" s="2">
        <f>IF(J76&lt;&gt;"",J76*GT_disp,IF(AND(G76&lt;&gt;"",H76&lt;&gt;"",L76&lt;&gt;""),G76*H76*L76*Cb*Rho_sw,""))</f>
        <v/>
      </c>
      <c r="N76" s="2">
        <f>IF(F76="","",IF(AND(M76&lt;&gt;"",E76&lt;&gt;""),MIN(M76^(2/3)*F76^3/C_adm,E76*HP_kW*Load),IF(M76&lt;&gt;"",M76^(2/3)*F76^3/C_adm,IF(E76&lt;&gt;"",E76*HP_kW*Load,""))))</f>
        <v/>
      </c>
      <c r="O76" s="2">
        <f>IF(N76="","",N76*BSFC/Rho_fuel)</f>
        <v/>
      </c>
      <c r="P76" s="2">
        <f>IF(OR(O76="",F76=""),"",O76/F76)</f>
        <v/>
      </c>
      <c r="Q76" s="2">
        <f>IF(OR(P76="",D76=""),"",P76/D76)</f>
        <v/>
      </c>
      <c r="R76" s="2">
        <f>IF(K76&lt;&gt;"",K76,RepRoutePerDay)</f>
        <v/>
      </c>
      <c r="S76" s="2">
        <f>IF(Q76="","",ROUND(Q76*R76,1))</f>
        <v/>
      </c>
      <c r="T76" s="2">
        <f>IF(E76="",PenEngine,1)*IF(G76="",PenMissing,1)*IF(F76="",PenMissing,1)*IF(D76="",PenMissing,1)</f>
        <v/>
      </c>
      <c r="U76" s="2">
        <f>IFERROR(IF(S76="","",100*(MAX($S$2:$S$127)-S76)/(MAX($S$2:$S$127)-MIN($S$2:$S$127))),"")</f>
        <v/>
      </c>
      <c r="V76" s="2">
        <f>IF(U76="","",ROUND(U76*T76,1))</f>
        <v/>
      </c>
      <c r="W76" t="inlineStr">
        <is>
          <t>missing_price_per_day</t>
        </is>
      </c>
    </row>
    <row r="77">
      <c r="A77" s="2">
        <f>IF(V77="","",RANK(V77,$V$2:$V$127))</f>
        <v/>
      </c>
      <c r="B77" t="inlineStr">
        <is>
          <t>Archipell I</t>
        </is>
      </c>
      <c r="C77" t="inlineStr">
        <is>
          <t>Motor Catamaran</t>
        </is>
      </c>
      <c r="D77" s="3" t="n">
        <v>16</v>
      </c>
      <c r="E77" s="3" t="n"/>
      <c r="F77" s="3" t="n">
        <v>10</v>
      </c>
      <c r="G77" s="3" t="n"/>
      <c r="H77" s="3" t="n">
        <v>8</v>
      </c>
      <c r="I77" s="3" t="n"/>
      <c r="J77" s="3" t="n"/>
      <c r="K77" s="3" t="n">
        <v>34.6</v>
      </c>
      <c r="L77" s="2">
        <f>IF(I77&lt;&gt;"",I77,IF(G77&lt;&gt;"",MAX(DraftMin,DraftK*G77),""))</f>
        <v/>
      </c>
      <c r="M77" s="2">
        <f>IF(J77&lt;&gt;"",J77*GT_disp,IF(AND(G77&lt;&gt;"",H77&lt;&gt;"",L77&lt;&gt;""),G77*H77*L77*Cb*Rho_sw,""))</f>
        <v/>
      </c>
      <c r="N77" s="2">
        <f>IF(F77="","",IF(AND(M77&lt;&gt;"",E77&lt;&gt;""),MIN(M77^(2/3)*F77^3/C_adm,E77*HP_kW*Load),IF(M77&lt;&gt;"",M77^(2/3)*F77^3/C_adm,IF(E77&lt;&gt;"",E77*HP_kW*Load,""))))</f>
        <v/>
      </c>
      <c r="O77" s="2">
        <f>IF(N77="","",N77*BSFC/Rho_fuel)</f>
        <v/>
      </c>
      <c r="P77" s="2">
        <f>IF(OR(O77="",F77=""),"",O77/F77)</f>
        <v/>
      </c>
      <c r="Q77" s="2">
        <f>IF(OR(P77="",D77=""),"",P77/D77)</f>
        <v/>
      </c>
      <c r="R77" s="2">
        <f>IF(K77&lt;&gt;"",K77,RepRoutePerDay)</f>
        <v/>
      </c>
      <c r="S77" s="2">
        <f>IF(Q77="","",ROUND(Q77*R77,1))</f>
        <v/>
      </c>
      <c r="T77" s="2">
        <f>IF(E77="",PenEngine,1)*IF(G77="",PenMissing,1)*IF(F77="",PenMissing,1)*IF(D77="",PenMissing,1)</f>
        <v/>
      </c>
      <c r="U77" s="2">
        <f>IFERROR(IF(S77="","",100*(MAX($S$2:$S$127)-S77)/(MAX($S$2:$S$127)-MIN($S$2:$S$127))),"")</f>
        <v/>
      </c>
      <c r="V77" s="2">
        <f>IF(U77="","",ROUND(U77*T77,1))</f>
        <v/>
      </c>
      <c r="W77" t="inlineStr">
        <is>
          <t>length_out_of_range, no_engine_data, missing_length_m, missing_crew_count, missing_price_per_day</t>
        </is>
      </c>
    </row>
    <row r="78">
      <c r="A78" s="2">
        <f>IF(V78="","",RANK(V78,$V$2:$V$127))</f>
        <v/>
      </c>
      <c r="B78" t="inlineStr">
        <is>
          <t>ARCHIPELL II</t>
        </is>
      </c>
      <c r="C78" t="inlineStr">
        <is>
          <t>Catamaran</t>
        </is>
      </c>
      <c r="D78" s="3" t="n">
        <v>16</v>
      </c>
      <c r="E78" s="3" t="n"/>
      <c r="F78" s="3" t="n"/>
      <c r="G78" s="3" t="n"/>
      <c r="H78" s="3" t="n"/>
      <c r="I78" s="3" t="n"/>
      <c r="J78" s="3" t="n"/>
      <c r="K78" s="3" t="n">
        <v>33.9</v>
      </c>
      <c r="L78" s="2">
        <f>IF(I78&lt;&gt;"",I78,IF(G78&lt;&gt;"",MAX(DraftMin,DraftK*G78),""))</f>
        <v/>
      </c>
      <c r="M78" s="2">
        <f>IF(J78&lt;&gt;"",J78*GT_disp,IF(AND(G78&lt;&gt;"",H78&lt;&gt;"",L78&lt;&gt;""),G78*H78*L78*Cb*Rho_sw,""))</f>
        <v/>
      </c>
      <c r="N78" s="2">
        <f>IF(F78="","",IF(AND(M78&lt;&gt;"",E78&lt;&gt;""),MIN(M78^(2/3)*F78^3/C_adm,E78*HP_kW*Load),IF(M78&lt;&gt;"",M78^(2/3)*F78^3/C_adm,IF(E78&lt;&gt;"",E78*HP_kW*Load,""))))</f>
        <v/>
      </c>
      <c r="O78" s="2">
        <f>IF(N78="","",N78*BSFC/Rho_fuel)</f>
        <v/>
      </c>
      <c r="P78" s="2">
        <f>IF(OR(O78="",F78=""),"",O78/F78)</f>
        <v/>
      </c>
      <c r="Q78" s="2">
        <f>IF(OR(P78="",D78=""),"",P78/D78)</f>
        <v/>
      </c>
      <c r="R78" s="2">
        <f>IF(K78&lt;&gt;"",K78,RepRoutePerDay)</f>
        <v/>
      </c>
      <c r="S78" s="2">
        <f>IF(Q78="","",ROUND(Q78*R78,1))</f>
        <v/>
      </c>
      <c r="T78" s="2">
        <f>IF(E78="",PenEngine,1)*IF(G78="",PenMissing,1)*IF(F78="",PenMissing,1)*IF(D78="",PenMissing,1)</f>
        <v/>
      </c>
      <c r="U78" s="2">
        <f>IFERROR(IF(S78="","",100*(MAX($S$2:$S$127)-S78)/(MAX($S$2:$S$127)-MIN($S$2:$S$127))),"")</f>
        <v/>
      </c>
      <c r="V78" s="2">
        <f>IF(U78="","",ROUND(U78*T78,1))</f>
        <v/>
      </c>
      <c r="W78" t="inlineStr">
        <is>
          <t>no_engine_data, missing_length_m, missing_beam_m, missing_speed_kn, missing_crew_count, missing_price_per_day</t>
        </is>
      </c>
    </row>
    <row r="79">
      <c r="A79" s="2">
        <f>IF(V79="","",RANK(V79,$V$2:$V$127))</f>
        <v/>
      </c>
      <c r="B79" t="inlineStr">
        <is>
          <t>Blue Spirit</t>
        </is>
      </c>
      <c r="C79" t="inlineStr">
        <is>
          <t>Monohull</t>
        </is>
      </c>
      <c r="D79" s="3" t="n">
        <v>16</v>
      </c>
      <c r="E79" s="3" t="n"/>
      <c r="F79" s="3" t="n"/>
      <c r="G79" s="3" t="n"/>
      <c r="H79" s="3" t="n"/>
      <c r="I79" s="3" t="n"/>
      <c r="J79" s="3" t="n"/>
      <c r="K79" s="3" t="n"/>
      <c r="L79" s="2">
        <f>IF(I79&lt;&gt;"",I79,IF(G79&lt;&gt;"",MAX(DraftMin,DraftK*G79),""))</f>
        <v/>
      </c>
      <c r="M79" s="2">
        <f>IF(J79&lt;&gt;"",J79*GT_disp,IF(AND(G79&lt;&gt;"",H79&lt;&gt;"",L79&lt;&gt;""),G79*H79*L79*Cb*Rho_sw,""))</f>
        <v/>
      </c>
      <c r="N79" s="2">
        <f>IF(F79="","",IF(AND(M79&lt;&gt;"",E79&lt;&gt;""),MIN(M79^(2/3)*F79^3/C_adm,E79*HP_kW*Load),IF(M79&lt;&gt;"",M79^(2/3)*F79^3/C_adm,IF(E79&lt;&gt;"",E79*HP_kW*Load,""))))</f>
        <v/>
      </c>
      <c r="O79" s="2">
        <f>IF(N79="","",N79*BSFC/Rho_fuel)</f>
        <v/>
      </c>
      <c r="P79" s="2">
        <f>IF(OR(O79="",F79=""),"",O79/F79)</f>
        <v/>
      </c>
      <c r="Q79" s="2">
        <f>IF(OR(P79="",D79=""),"",P79/D79)</f>
        <v/>
      </c>
      <c r="R79" s="2">
        <f>IF(K79&lt;&gt;"",K79,RepRoutePerDay)</f>
        <v/>
      </c>
      <c r="S79" s="2">
        <f>IF(Q79="","",ROUND(Q79*R79,1))</f>
        <v/>
      </c>
      <c r="T79" s="2">
        <f>IF(E79="",PenEngine,1)*IF(G79="",PenMissing,1)*IF(F79="",PenMissing,1)*IF(D79="",PenMissing,1)</f>
        <v/>
      </c>
      <c r="U79" s="2">
        <f>IFERROR(IF(S79="","",100*(MAX($S$2:$S$127)-S79)/(MAX($S$2:$S$127)-MIN($S$2:$S$127))),"")</f>
        <v/>
      </c>
      <c r="V79" s="2">
        <f>IF(U79="","",ROUND(U79*T79,1))</f>
        <v/>
      </c>
      <c r="W79" t="inlineStr">
        <is>
          <t>no_engine_data, missing_length_m, missing_beam_m, missing_speed_kn, missing_crew_count, missing_price_per_day</t>
        </is>
      </c>
    </row>
    <row r="80">
      <c r="A80" s="2">
        <f>IF(V80="","",RANK(V80,$V$2:$V$127))</f>
        <v/>
      </c>
      <c r="B80" t="inlineStr">
        <is>
          <t>Camila</t>
        </is>
      </c>
      <c r="C80" t="inlineStr">
        <is>
          <t>Monohull</t>
        </is>
      </c>
      <c r="D80" s="3" t="n">
        <v>16</v>
      </c>
      <c r="E80" s="3" t="n"/>
      <c r="F80" s="3" t="n"/>
      <c r="G80" s="3" t="n"/>
      <c r="H80" s="3" t="n"/>
      <c r="I80" s="3" t="n"/>
      <c r="J80" s="3" t="n"/>
      <c r="K80" s="3" t="n">
        <v>33.8</v>
      </c>
      <c r="L80" s="2">
        <f>IF(I80&lt;&gt;"",I80,IF(G80&lt;&gt;"",MAX(DraftMin,DraftK*G80),""))</f>
        <v/>
      </c>
      <c r="M80" s="2">
        <f>IF(J80&lt;&gt;"",J80*GT_disp,IF(AND(G80&lt;&gt;"",H80&lt;&gt;"",L80&lt;&gt;""),G80*H80*L80*Cb*Rho_sw,""))</f>
        <v/>
      </c>
      <c r="N80" s="2">
        <f>IF(F80="","",IF(AND(M80&lt;&gt;"",E80&lt;&gt;""),MIN(M80^(2/3)*F80^3/C_adm,E80*HP_kW*Load),IF(M80&lt;&gt;"",M80^(2/3)*F80^3/C_adm,IF(E80&lt;&gt;"",E80*HP_kW*Load,""))))</f>
        <v/>
      </c>
      <c r="O80" s="2">
        <f>IF(N80="","",N80*BSFC/Rho_fuel)</f>
        <v/>
      </c>
      <c r="P80" s="2">
        <f>IF(OR(O80="",F80=""),"",O80/F80)</f>
        <v/>
      </c>
      <c r="Q80" s="2">
        <f>IF(OR(P80="",D80=""),"",P80/D80)</f>
        <v/>
      </c>
      <c r="R80" s="2">
        <f>IF(K80&lt;&gt;"",K80,RepRoutePerDay)</f>
        <v/>
      </c>
      <c r="S80" s="2">
        <f>IF(Q80="","",ROUND(Q80*R80,1))</f>
        <v/>
      </c>
      <c r="T80" s="2">
        <f>IF(E80="",PenEngine,1)*IF(G80="",PenMissing,1)*IF(F80="",PenMissing,1)*IF(D80="",PenMissing,1)</f>
        <v/>
      </c>
      <c r="U80" s="2">
        <f>IFERROR(IF(S80="","",100*(MAX($S$2:$S$127)-S80)/(MAX($S$2:$S$127)-MIN($S$2:$S$127))),"")</f>
        <v/>
      </c>
      <c r="V80" s="2">
        <f>IF(U80="","",ROUND(U80*T80,1))</f>
        <v/>
      </c>
      <c r="W80" t="inlineStr">
        <is>
          <t>no_engine_data, missing_length_m, missing_beam_m, missing_speed_kn, missing_crew_count, missing_price_per_day</t>
        </is>
      </c>
    </row>
    <row r="81">
      <c r="A81" s="2">
        <f>IF(V81="","",RANK(V81,$V$2:$V$127))</f>
        <v/>
      </c>
      <c r="B81" t="inlineStr">
        <is>
          <t>Carina</t>
        </is>
      </c>
      <c r="C81" t="inlineStr">
        <is>
          <t>Monohull</t>
        </is>
      </c>
      <c r="D81" s="3" t="n">
        <v>16</v>
      </c>
      <c r="E81" s="3" t="n"/>
      <c r="F81" s="3" t="n"/>
      <c r="G81" s="3" t="n"/>
      <c r="H81" s="3" t="n"/>
      <c r="I81" s="3" t="n"/>
      <c r="J81" s="3" t="n"/>
      <c r="K81" s="3" t="n">
        <v>27.7</v>
      </c>
      <c r="L81" s="2">
        <f>IF(I81&lt;&gt;"",I81,IF(G81&lt;&gt;"",MAX(DraftMin,DraftK*G81),""))</f>
        <v/>
      </c>
      <c r="M81" s="2">
        <f>IF(J81&lt;&gt;"",J81*GT_disp,IF(AND(G81&lt;&gt;"",H81&lt;&gt;"",L81&lt;&gt;""),G81*H81*L81*Cb*Rho_sw,""))</f>
        <v/>
      </c>
      <c r="N81" s="2">
        <f>IF(F81="","",IF(AND(M81&lt;&gt;"",E81&lt;&gt;""),MIN(M81^(2/3)*F81^3/C_adm,E81*HP_kW*Load),IF(M81&lt;&gt;"",M81^(2/3)*F81^3/C_adm,IF(E81&lt;&gt;"",E81*HP_kW*Load,""))))</f>
        <v/>
      </c>
      <c r="O81" s="2">
        <f>IF(N81="","",N81*BSFC/Rho_fuel)</f>
        <v/>
      </c>
      <c r="P81" s="2">
        <f>IF(OR(O81="",F81=""),"",O81/F81)</f>
        <v/>
      </c>
      <c r="Q81" s="2">
        <f>IF(OR(P81="",D81=""),"",P81/D81)</f>
        <v/>
      </c>
      <c r="R81" s="2">
        <f>IF(K81&lt;&gt;"",K81,RepRoutePerDay)</f>
        <v/>
      </c>
      <c r="S81" s="2">
        <f>IF(Q81="","",ROUND(Q81*R81,1))</f>
        <v/>
      </c>
      <c r="T81" s="2">
        <f>IF(E81="",PenEngine,1)*IF(G81="",PenMissing,1)*IF(F81="",PenMissing,1)*IF(D81="",PenMissing,1)</f>
        <v/>
      </c>
      <c r="U81" s="2">
        <f>IFERROR(IF(S81="","",100*(MAX($S$2:$S$127)-S81)/(MAX($S$2:$S$127)-MIN($S$2:$S$127))),"")</f>
        <v/>
      </c>
      <c r="V81" s="2">
        <f>IF(U81="","",ROUND(U81*T81,1))</f>
        <v/>
      </c>
      <c r="W81" t="inlineStr">
        <is>
          <t>no_engine_data, missing_length_m, missing_beam_m, missing_speed_kn, missing_crew_count, missing_price_per_day</t>
        </is>
      </c>
    </row>
    <row r="82">
      <c r="A82" s="2">
        <f>IF(V82="","",RANK(V82,$V$2:$V$127))</f>
        <v/>
      </c>
      <c r="B82" t="inlineStr">
        <is>
          <t>Celebrity Xpedition</t>
        </is>
      </c>
      <c r="C82" t="inlineStr">
        <is>
          <t>Ship</t>
        </is>
      </c>
      <c r="D82" s="3" t="n">
        <v>48</v>
      </c>
      <c r="E82" s="3" t="n"/>
      <c r="F82" s="3" t="n">
        <v>15</v>
      </c>
      <c r="G82" s="3" t="n">
        <v>90.2</v>
      </c>
      <c r="H82" s="3" t="n"/>
      <c r="I82" s="3" t="n"/>
      <c r="J82" s="3" t="n"/>
      <c r="K82" s="3" t="n"/>
      <c r="L82" s="2">
        <f>IF(I82&lt;&gt;"",I82,IF(G82&lt;&gt;"",MAX(DraftMin,DraftK*G82),""))</f>
        <v/>
      </c>
      <c r="M82" s="2">
        <f>IF(J82&lt;&gt;"",J82*GT_disp,IF(AND(G82&lt;&gt;"",H82&lt;&gt;"",L82&lt;&gt;""),G82*H82*L82*Cb*Rho_sw,""))</f>
        <v/>
      </c>
      <c r="N82" s="2">
        <f>IF(F82="","",IF(AND(M82&lt;&gt;"",E82&lt;&gt;""),MIN(M82^(2/3)*F82^3/C_adm,E82*HP_kW*Load),IF(M82&lt;&gt;"",M82^(2/3)*F82^3/C_adm,IF(E82&lt;&gt;"",E82*HP_kW*Load,""))))</f>
        <v/>
      </c>
      <c r="O82" s="2">
        <f>IF(N82="","",N82*BSFC/Rho_fuel)</f>
        <v/>
      </c>
      <c r="P82" s="2">
        <f>IF(OR(O82="",F82=""),"",O82/F82)</f>
        <v/>
      </c>
      <c r="Q82" s="2">
        <f>IF(OR(P82="",D82=""),"",P82/D82)</f>
        <v/>
      </c>
      <c r="R82" s="2">
        <f>IF(K82&lt;&gt;"",K82,RepRoutePerDay)</f>
        <v/>
      </c>
      <c r="S82" s="2">
        <f>IF(Q82="","",ROUND(Q82*R82,1))</f>
        <v/>
      </c>
      <c r="T82" s="2">
        <f>IF(E82="",PenEngine,1)*IF(G82="",PenMissing,1)*IF(F82="",PenMissing,1)*IF(D82="",PenMissing,1)</f>
        <v/>
      </c>
      <c r="U82" s="2">
        <f>IFERROR(IF(S82="","",100*(MAX($S$2:$S$127)-S82)/(MAX($S$2:$S$127)-MIN($S$2:$S$127))),"")</f>
        <v/>
      </c>
      <c r="V82" s="2">
        <f>IF(U82="","",ROUND(U82*T82,1))</f>
        <v/>
      </c>
      <c r="W82" t="inlineStr">
        <is>
          <t>no_engine_data, missing_beam_m, missing_price_per_day</t>
        </is>
      </c>
    </row>
    <row r="83">
      <c r="A83" s="2">
        <f>IF(V83="","",RANK(V83,$V$2:$V$127))</f>
        <v/>
      </c>
      <c r="B83" t="inlineStr">
        <is>
          <t>Coral I</t>
        </is>
      </c>
      <c r="C83" t="inlineStr">
        <is>
          <t>Monohull</t>
        </is>
      </c>
      <c r="D83" s="3" t="n">
        <v>20</v>
      </c>
      <c r="E83" s="3" t="n"/>
      <c r="F83" s="3" t="n"/>
      <c r="G83" s="3" t="n"/>
      <c r="H83" s="3" t="n"/>
      <c r="I83" s="3" t="n"/>
      <c r="J83" s="3" t="n"/>
      <c r="K83" s="3" t="n">
        <v>30.2</v>
      </c>
      <c r="L83" s="2">
        <f>IF(I83&lt;&gt;"",I83,IF(G83&lt;&gt;"",MAX(DraftMin,DraftK*G83),""))</f>
        <v/>
      </c>
      <c r="M83" s="2">
        <f>IF(J83&lt;&gt;"",J83*GT_disp,IF(AND(G83&lt;&gt;"",H83&lt;&gt;"",L83&lt;&gt;""),G83*H83*L83*Cb*Rho_sw,""))</f>
        <v/>
      </c>
      <c r="N83" s="2">
        <f>IF(F83="","",IF(AND(M83&lt;&gt;"",E83&lt;&gt;""),MIN(M83^(2/3)*F83^3/C_adm,E83*HP_kW*Load),IF(M83&lt;&gt;"",M83^(2/3)*F83^3/C_adm,IF(E83&lt;&gt;"",E83*HP_kW*Load,""))))</f>
        <v/>
      </c>
      <c r="O83" s="2">
        <f>IF(N83="","",N83*BSFC/Rho_fuel)</f>
        <v/>
      </c>
      <c r="P83" s="2">
        <f>IF(OR(O83="",F83=""),"",O83/F83)</f>
        <v/>
      </c>
      <c r="Q83" s="2">
        <f>IF(OR(P83="",D83=""),"",P83/D83)</f>
        <v/>
      </c>
      <c r="R83" s="2">
        <f>IF(K83&lt;&gt;"",K83,RepRoutePerDay)</f>
        <v/>
      </c>
      <c r="S83" s="2">
        <f>IF(Q83="","",ROUND(Q83*R83,1))</f>
        <v/>
      </c>
      <c r="T83" s="2">
        <f>IF(E83="",PenEngine,1)*IF(G83="",PenMissing,1)*IF(F83="",PenMissing,1)*IF(D83="",PenMissing,1)</f>
        <v/>
      </c>
      <c r="U83" s="2">
        <f>IFERROR(IF(S83="","",100*(MAX($S$2:$S$127)-S83)/(MAX($S$2:$S$127)-MIN($S$2:$S$127))),"")</f>
        <v/>
      </c>
      <c r="V83" s="2">
        <f>IF(U83="","",ROUND(U83*T83,1))</f>
        <v/>
      </c>
      <c r="W83" t="inlineStr">
        <is>
          <t>no_engine_data, missing_length_m, missing_beam_m, missing_speed_kn, missing_crew_count, missing_price_per_day</t>
        </is>
      </c>
    </row>
    <row r="84">
      <c r="A84" s="2">
        <f>IF(V84="","",RANK(V84,$V$2:$V$127))</f>
        <v/>
      </c>
      <c r="B84" t="inlineStr">
        <is>
          <t>Coral II</t>
        </is>
      </c>
      <c r="C84" t="inlineStr">
        <is>
          <t>Monohull</t>
        </is>
      </c>
      <c r="D84" s="3" t="n">
        <v>36</v>
      </c>
      <c r="E84" s="3" t="n"/>
      <c r="F84" s="3" t="n"/>
      <c r="G84" s="3" t="n"/>
      <c r="H84" s="3" t="n"/>
      <c r="I84" s="3" t="n"/>
      <c r="J84" s="3" t="n"/>
      <c r="K84" s="3" t="n">
        <v>30.2</v>
      </c>
      <c r="L84" s="2">
        <f>IF(I84&lt;&gt;"",I84,IF(G84&lt;&gt;"",MAX(DraftMin,DraftK*G84),""))</f>
        <v/>
      </c>
      <c r="M84" s="2">
        <f>IF(J84&lt;&gt;"",J84*GT_disp,IF(AND(G84&lt;&gt;"",H84&lt;&gt;"",L84&lt;&gt;""),G84*H84*L84*Cb*Rho_sw,""))</f>
        <v/>
      </c>
      <c r="N84" s="2">
        <f>IF(F84="","",IF(AND(M84&lt;&gt;"",E84&lt;&gt;""),MIN(M84^(2/3)*F84^3/C_adm,E84*HP_kW*Load),IF(M84&lt;&gt;"",M84^(2/3)*F84^3/C_adm,IF(E84&lt;&gt;"",E84*HP_kW*Load,""))))</f>
        <v/>
      </c>
      <c r="O84" s="2">
        <f>IF(N84="","",N84*BSFC/Rho_fuel)</f>
        <v/>
      </c>
      <c r="P84" s="2">
        <f>IF(OR(O84="",F84=""),"",O84/F84)</f>
        <v/>
      </c>
      <c r="Q84" s="2">
        <f>IF(OR(P84="",D84=""),"",P84/D84)</f>
        <v/>
      </c>
      <c r="R84" s="2">
        <f>IF(K84&lt;&gt;"",K84,RepRoutePerDay)</f>
        <v/>
      </c>
      <c r="S84" s="2">
        <f>IF(Q84="","",ROUND(Q84*R84,1))</f>
        <v/>
      </c>
      <c r="T84" s="2">
        <f>IF(E84="",PenEngine,1)*IF(G84="",PenMissing,1)*IF(F84="",PenMissing,1)*IF(D84="",PenMissing,1)</f>
        <v/>
      </c>
      <c r="U84" s="2">
        <f>IFERROR(IF(S84="","",100*(MAX($S$2:$S$127)-S84)/(MAX($S$2:$S$127)-MIN($S$2:$S$127))),"")</f>
        <v/>
      </c>
      <c r="V84" s="2">
        <f>IF(U84="","",ROUND(U84*T84,1))</f>
        <v/>
      </c>
      <c r="W84" t="inlineStr">
        <is>
          <t>no_engine_data, missing_length_m, missing_beam_m, missing_speed_kn, missing_crew_count, missing_price_per_day</t>
        </is>
      </c>
    </row>
    <row r="85">
      <c r="A85" s="2">
        <f>IF(V85="","",RANK(V85,$V$2:$V$127))</f>
        <v/>
      </c>
      <c r="B85" t="inlineStr">
        <is>
          <t>Coral I and II</t>
        </is>
      </c>
      <c r="C85" t="inlineStr">
        <is>
          <t>Small Yacht</t>
        </is>
      </c>
      <c r="D85" s="3" t="n">
        <v>36</v>
      </c>
      <c r="E85" s="3" t="n"/>
      <c r="F85" s="3" t="n">
        <v>12</v>
      </c>
      <c r="G85" s="3" t="n">
        <v>50</v>
      </c>
      <c r="H85" s="3" t="n"/>
      <c r="I85" s="3" t="n"/>
      <c r="J85" s="3" t="n"/>
      <c r="K85" s="3" t="n"/>
      <c r="L85" s="2">
        <f>IF(I85&lt;&gt;"",I85,IF(G85&lt;&gt;"",MAX(DraftMin,DraftK*G85),""))</f>
        <v/>
      </c>
      <c r="M85" s="2">
        <f>IF(J85&lt;&gt;"",J85*GT_disp,IF(AND(G85&lt;&gt;"",H85&lt;&gt;"",L85&lt;&gt;""),G85*H85*L85*Cb*Rho_sw,""))</f>
        <v/>
      </c>
      <c r="N85" s="2">
        <f>IF(F85="","",IF(AND(M85&lt;&gt;"",E85&lt;&gt;""),MIN(M85^(2/3)*F85^3/C_adm,E85*HP_kW*Load),IF(M85&lt;&gt;"",M85^(2/3)*F85^3/C_adm,IF(E85&lt;&gt;"",E85*HP_kW*Load,""))))</f>
        <v/>
      </c>
      <c r="O85" s="2">
        <f>IF(N85="","",N85*BSFC/Rho_fuel)</f>
        <v/>
      </c>
      <c r="P85" s="2">
        <f>IF(OR(O85="",F85=""),"",O85/F85)</f>
        <v/>
      </c>
      <c r="Q85" s="2">
        <f>IF(OR(P85="",D85=""),"",P85/D85)</f>
        <v/>
      </c>
      <c r="R85" s="2">
        <f>IF(K85&lt;&gt;"",K85,RepRoutePerDay)</f>
        <v/>
      </c>
      <c r="S85" s="2">
        <f>IF(Q85="","",ROUND(Q85*R85,1))</f>
        <v/>
      </c>
      <c r="T85" s="2">
        <f>IF(E85="",PenEngine,1)*IF(G85="",PenMissing,1)*IF(F85="",PenMissing,1)*IF(D85="",PenMissing,1)</f>
        <v/>
      </c>
      <c r="U85" s="2">
        <f>IFERROR(IF(S85="","",100*(MAX($S$2:$S$127)-S85)/(MAX($S$2:$S$127)-MIN($S$2:$S$127))),"")</f>
        <v/>
      </c>
      <c r="V85" s="2">
        <f>IF(U85="","",ROUND(U85*T85,1))</f>
        <v/>
      </c>
      <c r="W85" t="inlineStr">
        <is>
          <t>no_engine_data, missing_beam_m, missing_crew_count, missing_price_per_day</t>
        </is>
      </c>
    </row>
    <row r="86">
      <c r="A86" s="2">
        <f>IF(V86="","",RANK(V86,$V$2:$V$127))</f>
        <v/>
      </c>
      <c r="B86" t="inlineStr">
        <is>
          <t>Danubio Azul Diving</t>
        </is>
      </c>
      <c r="C86" t="inlineStr">
        <is>
          <t>Yacht</t>
        </is>
      </c>
      <c r="D86" s="3" t="n">
        <v>16</v>
      </c>
      <c r="E86" s="3" t="n"/>
      <c r="F86" s="3" t="n">
        <v>13</v>
      </c>
      <c r="G86" s="3" t="n">
        <v>21.6</v>
      </c>
      <c r="H86" s="3" t="n"/>
      <c r="I86" s="3" t="n"/>
      <c r="J86" s="3" t="n"/>
      <c r="K86" s="3" t="n"/>
      <c r="L86" s="2">
        <f>IF(I86&lt;&gt;"",I86,IF(G86&lt;&gt;"",MAX(DraftMin,DraftK*G86),""))</f>
        <v/>
      </c>
      <c r="M86" s="2">
        <f>IF(J86&lt;&gt;"",J86*GT_disp,IF(AND(G86&lt;&gt;"",H86&lt;&gt;"",L86&lt;&gt;""),G86*H86*L86*Cb*Rho_sw,""))</f>
        <v/>
      </c>
      <c r="N86" s="2">
        <f>IF(F86="","",IF(AND(M86&lt;&gt;"",E86&lt;&gt;""),MIN(M86^(2/3)*F86^3/C_adm,E86*HP_kW*Load),IF(M86&lt;&gt;"",M86^(2/3)*F86^3/C_adm,IF(E86&lt;&gt;"",E86*HP_kW*Load,""))))</f>
        <v/>
      </c>
      <c r="O86" s="2">
        <f>IF(N86="","",N86*BSFC/Rho_fuel)</f>
        <v/>
      </c>
      <c r="P86" s="2">
        <f>IF(OR(O86="",F86=""),"",O86/F86)</f>
        <v/>
      </c>
      <c r="Q86" s="2">
        <f>IF(OR(P86="",D86=""),"",P86/D86)</f>
        <v/>
      </c>
      <c r="R86" s="2">
        <f>IF(K86&lt;&gt;"",K86,RepRoutePerDay)</f>
        <v/>
      </c>
      <c r="S86" s="2">
        <f>IF(Q86="","",ROUND(Q86*R86,1))</f>
        <v/>
      </c>
      <c r="T86" s="2">
        <f>IF(E86="",PenEngine,1)*IF(G86="",PenMissing,1)*IF(F86="",PenMissing,1)*IF(D86="",PenMissing,1)</f>
        <v/>
      </c>
      <c r="U86" s="2">
        <f>IFERROR(IF(S86="","",100*(MAX($S$2:$S$127)-S86)/(MAX($S$2:$S$127)-MIN($S$2:$S$127))),"")</f>
        <v/>
      </c>
      <c r="V86" s="2">
        <f>IF(U86="","",ROUND(U86*T86,1))</f>
        <v/>
      </c>
      <c r="W86" t="inlineStr">
        <is>
          <t>no_engine_data, missing_beam_m</t>
        </is>
      </c>
    </row>
    <row r="87">
      <c r="A87" s="2">
        <f>IF(V87="","",RANK(V87,$V$2:$V$127))</f>
        <v/>
      </c>
      <c r="B87" t="inlineStr">
        <is>
          <t>Danubio Azul Naturalist</t>
        </is>
      </c>
      <c r="C87" t="inlineStr">
        <is>
          <t>Yacht</t>
        </is>
      </c>
      <c r="D87" s="3" t="n">
        <v>16</v>
      </c>
      <c r="E87" s="3" t="n"/>
      <c r="F87" s="3" t="n">
        <v>13</v>
      </c>
      <c r="G87" s="3" t="n">
        <v>21.6</v>
      </c>
      <c r="H87" s="3" t="n"/>
      <c r="I87" s="3" t="n"/>
      <c r="J87" s="3" t="n"/>
      <c r="K87" s="3" t="n"/>
      <c r="L87" s="2">
        <f>IF(I87&lt;&gt;"",I87,IF(G87&lt;&gt;"",MAX(DraftMin,DraftK*G87),""))</f>
        <v/>
      </c>
      <c r="M87" s="2">
        <f>IF(J87&lt;&gt;"",J87*GT_disp,IF(AND(G87&lt;&gt;"",H87&lt;&gt;"",L87&lt;&gt;""),G87*H87*L87*Cb*Rho_sw,""))</f>
        <v/>
      </c>
      <c r="N87" s="2">
        <f>IF(F87="","",IF(AND(M87&lt;&gt;"",E87&lt;&gt;""),MIN(M87^(2/3)*F87^3/C_adm,E87*HP_kW*Load),IF(M87&lt;&gt;"",M87^(2/3)*F87^3/C_adm,IF(E87&lt;&gt;"",E87*HP_kW*Load,""))))</f>
        <v/>
      </c>
      <c r="O87" s="2">
        <f>IF(N87="","",N87*BSFC/Rho_fuel)</f>
        <v/>
      </c>
      <c r="P87" s="2">
        <f>IF(OR(O87="",F87=""),"",O87/F87)</f>
        <v/>
      </c>
      <c r="Q87" s="2">
        <f>IF(OR(P87="",D87=""),"",P87/D87)</f>
        <v/>
      </c>
      <c r="R87" s="2">
        <f>IF(K87&lt;&gt;"",K87,RepRoutePerDay)</f>
        <v/>
      </c>
      <c r="S87" s="2">
        <f>IF(Q87="","",ROUND(Q87*R87,1))</f>
        <v/>
      </c>
      <c r="T87" s="2">
        <f>IF(E87="",PenEngine,1)*IF(G87="",PenMissing,1)*IF(F87="",PenMissing,1)*IF(D87="",PenMissing,1)</f>
        <v/>
      </c>
      <c r="U87" s="2">
        <f>IFERROR(IF(S87="","",100*(MAX($S$2:$S$127)-S87)/(MAX($S$2:$S$127)-MIN($S$2:$S$127))),"")</f>
        <v/>
      </c>
      <c r="V87" s="2">
        <f>IF(U87="","",ROUND(U87*T87,1))</f>
        <v/>
      </c>
      <c r="W87" t="inlineStr">
        <is>
          <t>no_engine_data, missing_beam_m</t>
        </is>
      </c>
    </row>
    <row r="88">
      <c r="A88" s="2">
        <f>IF(V88="","",RANK(V88,$V$2:$V$127))</f>
        <v/>
      </c>
      <c r="B88" t="inlineStr">
        <is>
          <t>Daphne</t>
        </is>
      </c>
      <c r="C88" t="inlineStr">
        <is>
          <t>Monohull</t>
        </is>
      </c>
      <c r="D88" s="3" t="n">
        <v>16</v>
      </c>
      <c r="E88" s="3" t="n"/>
      <c r="F88" s="3" t="n"/>
      <c r="G88" s="3" t="n"/>
      <c r="H88" s="3" t="n"/>
      <c r="I88" s="3" t="n"/>
      <c r="J88" s="3" t="n"/>
      <c r="K88" s="3" t="n">
        <v>36.1</v>
      </c>
      <c r="L88" s="2">
        <f>IF(I88&lt;&gt;"",I88,IF(G88&lt;&gt;"",MAX(DraftMin,DraftK*G88),""))</f>
        <v/>
      </c>
      <c r="M88" s="2">
        <f>IF(J88&lt;&gt;"",J88*GT_disp,IF(AND(G88&lt;&gt;"",H88&lt;&gt;"",L88&lt;&gt;""),G88*H88*L88*Cb*Rho_sw,""))</f>
        <v/>
      </c>
      <c r="N88" s="2">
        <f>IF(F88="","",IF(AND(M88&lt;&gt;"",E88&lt;&gt;""),MIN(M88^(2/3)*F88^3/C_adm,E88*HP_kW*Load),IF(M88&lt;&gt;"",M88^(2/3)*F88^3/C_adm,IF(E88&lt;&gt;"",E88*HP_kW*Load,""))))</f>
        <v/>
      </c>
      <c r="O88" s="2">
        <f>IF(N88="","",N88*BSFC/Rho_fuel)</f>
        <v/>
      </c>
      <c r="P88" s="2">
        <f>IF(OR(O88="",F88=""),"",O88/F88)</f>
        <v/>
      </c>
      <c r="Q88" s="2">
        <f>IF(OR(P88="",D88=""),"",P88/D88)</f>
        <v/>
      </c>
      <c r="R88" s="2">
        <f>IF(K88&lt;&gt;"",K88,RepRoutePerDay)</f>
        <v/>
      </c>
      <c r="S88" s="2">
        <f>IF(Q88="","",ROUND(Q88*R88,1))</f>
        <v/>
      </c>
      <c r="T88" s="2">
        <f>IF(E88="",PenEngine,1)*IF(G88="",PenMissing,1)*IF(F88="",PenMissing,1)*IF(D88="",PenMissing,1)</f>
        <v/>
      </c>
      <c r="U88" s="2">
        <f>IFERROR(IF(S88="","",100*(MAX($S$2:$S$127)-S88)/(MAX($S$2:$S$127)-MIN($S$2:$S$127))),"")</f>
        <v/>
      </c>
      <c r="V88" s="2">
        <f>IF(U88="","",ROUND(U88*T88,1))</f>
        <v/>
      </c>
      <c r="W88" t="inlineStr">
        <is>
          <t>no_engine_data, missing_length_m, missing_beam_m, missing_speed_kn, missing_crew_count, missing_price_per_day</t>
        </is>
      </c>
    </row>
    <row r="89">
      <c r="A89" s="2">
        <f>IF(V89="","",RANK(V89,$V$2:$V$127))</f>
        <v/>
      </c>
      <c r="B89" t="inlineStr">
        <is>
          <t>Eco Galaxy</t>
        </is>
      </c>
      <c r="C89" t="inlineStr">
        <is>
          <t>Catamaran</t>
        </is>
      </c>
      <c r="D89" s="3" t="n">
        <v>16</v>
      </c>
      <c r="E89" s="3" t="n"/>
      <c r="F89" s="3" t="n">
        <v>10</v>
      </c>
      <c r="G89" s="3" t="n">
        <v>27</v>
      </c>
      <c r="H89" s="3" t="n"/>
      <c r="I89" s="3" t="n">
        <v>1.15</v>
      </c>
      <c r="J89" s="3" t="n"/>
      <c r="K89" s="3" t="n">
        <v>33.3</v>
      </c>
      <c r="L89" s="2">
        <f>IF(I89&lt;&gt;"",I89,IF(G89&lt;&gt;"",MAX(DraftMin,DraftK*G89),""))</f>
        <v/>
      </c>
      <c r="M89" s="2">
        <f>IF(J89&lt;&gt;"",J89*GT_disp,IF(AND(G89&lt;&gt;"",H89&lt;&gt;"",L89&lt;&gt;""),G89*H89*L89*Cb*Rho_sw,""))</f>
        <v/>
      </c>
      <c r="N89" s="2">
        <f>IF(F89="","",IF(AND(M89&lt;&gt;"",E89&lt;&gt;""),MIN(M89^(2/3)*F89^3/C_adm,E89*HP_kW*Load),IF(M89&lt;&gt;"",M89^(2/3)*F89^3/C_adm,IF(E89&lt;&gt;"",E89*HP_kW*Load,""))))</f>
        <v/>
      </c>
      <c r="O89" s="2">
        <f>IF(N89="","",N89*BSFC/Rho_fuel)</f>
        <v/>
      </c>
      <c r="P89" s="2">
        <f>IF(OR(O89="",F89=""),"",O89/F89)</f>
        <v/>
      </c>
      <c r="Q89" s="2">
        <f>IF(OR(P89="",D89=""),"",P89/D89)</f>
        <v/>
      </c>
      <c r="R89" s="2">
        <f>IF(K89&lt;&gt;"",K89,RepRoutePerDay)</f>
        <v/>
      </c>
      <c r="S89" s="2">
        <f>IF(Q89="","",ROUND(Q89*R89,1))</f>
        <v/>
      </c>
      <c r="T89" s="2">
        <f>IF(E89="",PenEngine,1)*IF(G89="",PenMissing,1)*IF(F89="",PenMissing,1)*IF(D89="",PenMissing,1)</f>
        <v/>
      </c>
      <c r="U89" s="2">
        <f>IFERROR(IF(S89="","",100*(MAX($S$2:$S$127)-S89)/(MAX($S$2:$S$127)-MIN($S$2:$S$127))),"")</f>
        <v/>
      </c>
      <c r="V89" s="2">
        <f>IF(U89="","",ROUND(U89*T89,1))</f>
        <v/>
      </c>
      <c r="W89" t="inlineStr">
        <is>
          <t>missing_beam_m</t>
        </is>
      </c>
    </row>
    <row r="90">
      <c r="A90" s="2">
        <f>IF(V90="","",RANK(V90,$V$2:$V$127))</f>
        <v/>
      </c>
      <c r="B90" t="inlineStr">
        <is>
          <t>Ecogalaxy</t>
        </is>
      </c>
      <c r="C90" t="inlineStr">
        <is>
          <t>Catamaran</t>
        </is>
      </c>
      <c r="D90" s="3" t="n">
        <v>16</v>
      </c>
      <c r="E90" s="3" t="n"/>
      <c r="F90" s="3" t="n"/>
      <c r="G90" s="3" t="n"/>
      <c r="H90" s="3" t="n"/>
      <c r="I90" s="3" t="n"/>
      <c r="J90" s="3" t="n"/>
      <c r="K90" s="3" t="n">
        <v>33.3</v>
      </c>
      <c r="L90" s="2">
        <f>IF(I90&lt;&gt;"",I90,IF(G90&lt;&gt;"",MAX(DraftMin,DraftK*G90),""))</f>
        <v/>
      </c>
      <c r="M90" s="2">
        <f>IF(J90&lt;&gt;"",J90*GT_disp,IF(AND(G90&lt;&gt;"",H90&lt;&gt;"",L90&lt;&gt;""),G90*H90*L90*Cb*Rho_sw,""))</f>
        <v/>
      </c>
      <c r="N90" s="2">
        <f>IF(F90="","",IF(AND(M90&lt;&gt;"",E90&lt;&gt;""),MIN(M90^(2/3)*F90^3/C_adm,E90*HP_kW*Load),IF(M90&lt;&gt;"",M90^(2/3)*F90^3/C_adm,IF(E90&lt;&gt;"",E90*HP_kW*Load,""))))</f>
        <v/>
      </c>
      <c r="O90" s="2">
        <f>IF(N90="","",N90*BSFC/Rho_fuel)</f>
        <v/>
      </c>
      <c r="P90" s="2">
        <f>IF(OR(O90="",F90=""),"",O90/F90)</f>
        <v/>
      </c>
      <c r="Q90" s="2">
        <f>IF(OR(P90="",D90=""),"",P90/D90)</f>
        <v/>
      </c>
      <c r="R90" s="2">
        <f>IF(K90&lt;&gt;"",K90,RepRoutePerDay)</f>
        <v/>
      </c>
      <c r="S90" s="2">
        <f>IF(Q90="","",ROUND(Q90*R90,1))</f>
        <v/>
      </c>
      <c r="T90" s="2">
        <f>IF(E90="",PenEngine,1)*IF(G90="",PenMissing,1)*IF(F90="",PenMissing,1)*IF(D90="",PenMissing,1)</f>
        <v/>
      </c>
      <c r="U90" s="2">
        <f>IFERROR(IF(S90="","",100*(MAX($S$2:$S$127)-S90)/(MAX($S$2:$S$127)-MIN($S$2:$S$127))),"")</f>
        <v/>
      </c>
      <c r="V90" s="2">
        <f>IF(U90="","",ROUND(U90*T90,1))</f>
        <v/>
      </c>
      <c r="W90" t="inlineStr">
        <is>
          <t>no_engine_data, missing_length_m, missing_beam_m, missing_speed_kn, missing_crew_count, missing_price_per_day</t>
        </is>
      </c>
    </row>
    <row r="91">
      <c r="A91" s="2">
        <f>IF(V91="","",RANK(V91,$V$2:$V$127))</f>
        <v/>
      </c>
      <c r="B91" t="inlineStr">
        <is>
          <t>Equinox</t>
        </is>
      </c>
      <c r="C91" t="inlineStr">
        <is>
          <t>Small Yacht</t>
        </is>
      </c>
      <c r="D91" s="3" t="n">
        <v>20</v>
      </c>
      <c r="E91" s="3" t="n"/>
      <c r="F91" s="3" t="n"/>
      <c r="G91" s="3" t="n">
        <v>27</v>
      </c>
      <c r="H91" s="3" t="n">
        <v>7</v>
      </c>
      <c r="I91" s="3" t="n"/>
      <c r="J91" s="3" t="n"/>
      <c r="K91" s="3" t="n">
        <v>33.8</v>
      </c>
      <c r="L91" s="2">
        <f>IF(I91&lt;&gt;"",I91,IF(G91&lt;&gt;"",MAX(DraftMin,DraftK*G91),""))</f>
        <v/>
      </c>
      <c r="M91" s="2">
        <f>IF(J91&lt;&gt;"",J91*GT_disp,IF(AND(G91&lt;&gt;"",H91&lt;&gt;"",L91&lt;&gt;""),G91*H91*L91*Cb*Rho_sw,""))</f>
        <v/>
      </c>
      <c r="N91" s="2">
        <f>IF(F91="","",IF(AND(M91&lt;&gt;"",E91&lt;&gt;""),MIN(M91^(2/3)*F91^3/C_adm,E91*HP_kW*Load),IF(M91&lt;&gt;"",M91^(2/3)*F91^3/C_adm,IF(E91&lt;&gt;"",E91*HP_kW*Load,""))))</f>
        <v/>
      </c>
      <c r="O91" s="2">
        <f>IF(N91="","",N91*BSFC/Rho_fuel)</f>
        <v/>
      </c>
      <c r="P91" s="2">
        <f>IF(OR(O91="",F91=""),"",O91/F91)</f>
        <v/>
      </c>
      <c r="Q91" s="2">
        <f>IF(OR(P91="",D91=""),"",P91/D91)</f>
        <v/>
      </c>
      <c r="R91" s="2">
        <f>IF(K91&lt;&gt;"",K91,RepRoutePerDay)</f>
        <v/>
      </c>
      <c r="S91" s="2">
        <f>IF(Q91="","",ROUND(Q91*R91,1))</f>
        <v/>
      </c>
      <c r="T91" s="2">
        <f>IF(E91="",PenEngine,1)*IF(G91="",PenMissing,1)*IF(F91="",PenMissing,1)*IF(D91="",PenMissing,1)</f>
        <v/>
      </c>
      <c r="U91" s="2">
        <f>IFERROR(IF(S91="","",100*(MAX($S$2:$S$127)-S91)/(MAX($S$2:$S$127)-MIN($S$2:$S$127))),"")</f>
        <v/>
      </c>
      <c r="V91" s="2">
        <f>IF(U91="","",ROUND(U91*T91,1))</f>
        <v/>
      </c>
      <c r="W91" t="inlineStr">
        <is>
          <t>no_engine_data, missing_speed_kn, missing_crew_count, missing_price_per_day</t>
        </is>
      </c>
    </row>
    <row r="92">
      <c r="A92" s="2">
        <f>IF(V92="","",RANK(V92,$V$2:$V$127))</f>
        <v/>
      </c>
      <c r="B92" t="inlineStr">
        <is>
          <t>Estrella de Mar</t>
        </is>
      </c>
      <c r="C92" t="inlineStr">
        <is>
          <t>Monohull</t>
        </is>
      </c>
      <c r="D92" s="3" t="n">
        <v>16</v>
      </c>
      <c r="E92" s="3" t="n"/>
      <c r="F92" s="3" t="n"/>
      <c r="G92" s="3" t="n"/>
      <c r="H92" s="3" t="n"/>
      <c r="I92" s="3" t="n"/>
      <c r="J92" s="3" t="n"/>
      <c r="K92" s="3" t="n">
        <v>34.7</v>
      </c>
      <c r="L92" s="2">
        <f>IF(I92&lt;&gt;"",I92,IF(G92&lt;&gt;"",MAX(DraftMin,DraftK*G92),""))</f>
        <v/>
      </c>
      <c r="M92" s="2">
        <f>IF(J92&lt;&gt;"",J92*GT_disp,IF(AND(G92&lt;&gt;"",H92&lt;&gt;"",L92&lt;&gt;""),G92*H92*L92*Cb*Rho_sw,""))</f>
        <v/>
      </c>
      <c r="N92" s="2">
        <f>IF(F92="","",IF(AND(M92&lt;&gt;"",E92&lt;&gt;""),MIN(M92^(2/3)*F92^3/C_adm,E92*HP_kW*Load),IF(M92&lt;&gt;"",M92^(2/3)*F92^3/C_adm,IF(E92&lt;&gt;"",E92*HP_kW*Load,""))))</f>
        <v/>
      </c>
      <c r="O92" s="2">
        <f>IF(N92="","",N92*BSFC/Rho_fuel)</f>
        <v/>
      </c>
      <c r="P92" s="2">
        <f>IF(OR(O92="",F92=""),"",O92/F92)</f>
        <v/>
      </c>
      <c r="Q92" s="2">
        <f>IF(OR(P92="",D92=""),"",P92/D92)</f>
        <v/>
      </c>
      <c r="R92" s="2">
        <f>IF(K92&lt;&gt;"",K92,RepRoutePerDay)</f>
        <v/>
      </c>
      <c r="S92" s="2">
        <f>IF(Q92="","",ROUND(Q92*R92,1))</f>
        <v/>
      </c>
      <c r="T92" s="2">
        <f>IF(E92="",PenEngine,1)*IF(G92="",PenMissing,1)*IF(F92="",PenMissing,1)*IF(D92="",PenMissing,1)</f>
        <v/>
      </c>
      <c r="U92" s="2">
        <f>IFERROR(IF(S92="","",100*(MAX($S$2:$S$127)-S92)/(MAX($S$2:$S$127)-MIN($S$2:$S$127))),"")</f>
        <v/>
      </c>
      <c r="V92" s="2">
        <f>IF(U92="","",ROUND(U92*T92,1))</f>
        <v/>
      </c>
      <c r="W92" t="inlineStr">
        <is>
          <t>no_engine_data, missing_length_m, missing_beam_m, missing_speed_kn, missing_crew_count, missing_price_per_day</t>
        </is>
      </c>
    </row>
    <row r="93">
      <c r="A93" s="2">
        <f>IF(V93="","",RANK(V93,$V$2:$V$127))</f>
        <v/>
      </c>
      <c r="B93" t="inlineStr">
        <is>
          <t>Estrella del Mar</t>
        </is>
      </c>
      <c r="C93" t="inlineStr">
        <is>
          <t>Small Yacht</t>
        </is>
      </c>
      <c r="D93" s="3" t="n">
        <v>16</v>
      </c>
      <c r="E93" s="3" t="n"/>
      <c r="F93" s="3" t="n">
        <v>9</v>
      </c>
      <c r="G93" s="3" t="n">
        <v>23</v>
      </c>
      <c r="H93" s="3" t="n"/>
      <c r="I93" s="3" t="n"/>
      <c r="J93" s="3" t="n"/>
      <c r="K93" s="3" t="n"/>
      <c r="L93" s="2">
        <f>IF(I93&lt;&gt;"",I93,IF(G93&lt;&gt;"",MAX(DraftMin,DraftK*G93),""))</f>
        <v/>
      </c>
      <c r="M93" s="2">
        <f>IF(J93&lt;&gt;"",J93*GT_disp,IF(AND(G93&lt;&gt;"",H93&lt;&gt;"",L93&lt;&gt;""),G93*H93*L93*Cb*Rho_sw,""))</f>
        <v/>
      </c>
      <c r="N93" s="2">
        <f>IF(F93="","",IF(AND(M93&lt;&gt;"",E93&lt;&gt;""),MIN(M93^(2/3)*F93^3/C_adm,E93*HP_kW*Load),IF(M93&lt;&gt;"",M93^(2/3)*F93^3/C_adm,IF(E93&lt;&gt;"",E93*HP_kW*Load,""))))</f>
        <v/>
      </c>
      <c r="O93" s="2">
        <f>IF(N93="","",N93*BSFC/Rho_fuel)</f>
        <v/>
      </c>
      <c r="P93" s="2">
        <f>IF(OR(O93="",F93=""),"",O93/F93)</f>
        <v/>
      </c>
      <c r="Q93" s="2">
        <f>IF(OR(P93="",D93=""),"",P93/D93)</f>
        <v/>
      </c>
      <c r="R93" s="2">
        <f>IF(K93&lt;&gt;"",K93,RepRoutePerDay)</f>
        <v/>
      </c>
      <c r="S93" s="2">
        <f>IF(Q93="","",ROUND(Q93*R93,1))</f>
        <v/>
      </c>
      <c r="T93" s="2">
        <f>IF(E93="",PenEngine,1)*IF(G93="",PenMissing,1)*IF(F93="",PenMissing,1)*IF(D93="",PenMissing,1)</f>
        <v/>
      </c>
      <c r="U93" s="2">
        <f>IFERROR(IF(S93="","",100*(MAX($S$2:$S$127)-S93)/(MAX($S$2:$S$127)-MIN($S$2:$S$127))),"")</f>
        <v/>
      </c>
      <c r="V93" s="2">
        <f>IF(U93="","",ROUND(U93*T93,1))</f>
        <v/>
      </c>
      <c r="W93" t="inlineStr">
        <is>
          <t>no_engine_data, missing_beam_m, missing_crew_count, missing_price_per_day</t>
        </is>
      </c>
    </row>
    <row r="94">
      <c r="A94" s="2">
        <f>IF(V94="","",RANK(V94,$V$2:$V$127))</f>
        <v/>
      </c>
      <c r="B94" t="inlineStr">
        <is>
          <t>Galapagos Explorer</t>
        </is>
      </c>
      <c r="C94" t="inlineStr">
        <is>
          <t>Yacht</t>
        </is>
      </c>
      <c r="D94" s="3" t="n">
        <v>12</v>
      </c>
      <c r="E94" s="3" t="n"/>
      <c r="F94" s="3" t="n"/>
      <c r="G94" s="3" t="n"/>
      <c r="H94" s="3" t="n"/>
      <c r="I94" s="3" t="n"/>
      <c r="J94" s="3" t="n"/>
      <c r="K94" s="3" t="n"/>
      <c r="L94" s="2">
        <f>IF(I94&lt;&gt;"",I94,IF(G94&lt;&gt;"",MAX(DraftMin,DraftK*G94),""))</f>
        <v/>
      </c>
      <c r="M94" s="2">
        <f>IF(J94&lt;&gt;"",J94*GT_disp,IF(AND(G94&lt;&gt;"",H94&lt;&gt;"",L94&lt;&gt;""),G94*H94*L94*Cb*Rho_sw,""))</f>
        <v/>
      </c>
      <c r="N94" s="2">
        <f>IF(F94="","",IF(AND(M94&lt;&gt;"",E94&lt;&gt;""),MIN(M94^(2/3)*F94^3/C_adm,E94*HP_kW*Load),IF(M94&lt;&gt;"",M94^(2/3)*F94^3/C_adm,IF(E94&lt;&gt;"",E94*HP_kW*Load,""))))</f>
        <v/>
      </c>
      <c r="O94" s="2">
        <f>IF(N94="","",N94*BSFC/Rho_fuel)</f>
        <v/>
      </c>
      <c r="P94" s="2">
        <f>IF(OR(O94="",F94=""),"",O94/F94)</f>
        <v/>
      </c>
      <c r="Q94" s="2">
        <f>IF(OR(P94="",D94=""),"",P94/D94)</f>
        <v/>
      </c>
      <c r="R94" s="2">
        <f>IF(K94&lt;&gt;"",K94,RepRoutePerDay)</f>
        <v/>
      </c>
      <c r="S94" s="2">
        <f>IF(Q94="","",ROUND(Q94*R94,1))</f>
        <v/>
      </c>
      <c r="T94" s="2">
        <f>IF(E94="",PenEngine,1)*IF(G94="",PenMissing,1)*IF(F94="",PenMissing,1)*IF(D94="",PenMissing,1)</f>
        <v/>
      </c>
      <c r="U94" s="2">
        <f>IFERROR(IF(S94="","",100*(MAX($S$2:$S$127)-S94)/(MAX($S$2:$S$127)-MIN($S$2:$S$127))),"")</f>
        <v/>
      </c>
      <c r="V94" s="2">
        <f>IF(U94="","",ROUND(U94*T94,1))</f>
        <v/>
      </c>
      <c r="W94" t="inlineStr">
        <is>
          <t>no_engine_data, missing_length_m, missing_beam_m, missing_speed_kn, missing_crew_count, missing_price_per_day</t>
        </is>
      </c>
    </row>
    <row r="95">
      <c r="A95" s="2">
        <f>IF(V95="","",RANK(V95,$V$2:$V$127))</f>
        <v/>
      </c>
      <c r="B95" t="inlineStr">
        <is>
          <t>Flamingo</t>
        </is>
      </c>
      <c r="C95" t="inlineStr">
        <is>
          <t>Monohull</t>
        </is>
      </c>
      <c r="D95" s="3" t="n">
        <v>10</v>
      </c>
      <c r="E95" s="3" t="n"/>
      <c r="F95" s="3" t="n"/>
      <c r="G95" s="3" t="n"/>
      <c r="H95" s="3" t="n"/>
      <c r="I95" s="3" t="n"/>
      <c r="J95" s="3" t="n"/>
      <c r="K95" s="3" t="n">
        <v>28.8</v>
      </c>
      <c r="L95" s="2">
        <f>IF(I95&lt;&gt;"",I95,IF(G95&lt;&gt;"",MAX(DraftMin,DraftK*G95),""))</f>
        <v/>
      </c>
      <c r="M95" s="2">
        <f>IF(J95&lt;&gt;"",J95*GT_disp,IF(AND(G95&lt;&gt;"",H95&lt;&gt;"",L95&lt;&gt;""),G95*H95*L95*Cb*Rho_sw,""))</f>
        <v/>
      </c>
      <c r="N95" s="2">
        <f>IF(F95="","",IF(AND(M95&lt;&gt;"",E95&lt;&gt;""),MIN(M95^(2/3)*F95^3/C_adm,E95*HP_kW*Load),IF(M95&lt;&gt;"",M95^(2/3)*F95^3/C_adm,IF(E95&lt;&gt;"",E95*HP_kW*Load,""))))</f>
        <v/>
      </c>
      <c r="O95" s="2">
        <f>IF(N95="","",N95*BSFC/Rho_fuel)</f>
        <v/>
      </c>
      <c r="P95" s="2">
        <f>IF(OR(O95="",F95=""),"",O95/F95)</f>
        <v/>
      </c>
      <c r="Q95" s="2">
        <f>IF(OR(P95="",D95=""),"",P95/D95)</f>
        <v/>
      </c>
      <c r="R95" s="2">
        <f>IF(K95&lt;&gt;"",K95,RepRoutePerDay)</f>
        <v/>
      </c>
      <c r="S95" s="2">
        <f>IF(Q95="","",ROUND(Q95*R95,1))</f>
        <v/>
      </c>
      <c r="T95" s="2">
        <f>IF(E95="",PenEngine,1)*IF(G95="",PenMissing,1)*IF(F95="",PenMissing,1)*IF(D95="",PenMissing,1)</f>
        <v/>
      </c>
      <c r="U95" s="2">
        <f>IFERROR(IF(S95="","",100*(MAX($S$2:$S$127)-S95)/(MAX($S$2:$S$127)-MIN($S$2:$S$127))),"")</f>
        <v/>
      </c>
      <c r="V95" s="2">
        <f>IF(U95="","",ROUND(U95*T95,1))</f>
        <v/>
      </c>
      <c r="W95" t="inlineStr">
        <is>
          <t>no_engine_data, missing_length_m, missing_beam_m, missing_speed_kn, missing_crew_count, missing_price_per_day</t>
        </is>
      </c>
    </row>
    <row r="96">
      <c r="A96" s="2">
        <f>IF(V96="","",RANK(V96,$V$2:$V$127))</f>
        <v/>
      </c>
      <c r="B96" t="inlineStr">
        <is>
          <t>Flora</t>
        </is>
      </c>
      <c r="C96" t="inlineStr">
        <is>
          <t>Monohull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2">
        <f>IF(I96&lt;&gt;"",I96,IF(G96&lt;&gt;"",MAX(DraftMin,DraftK*G96),""))</f>
        <v/>
      </c>
      <c r="M96" s="2">
        <f>IF(J96&lt;&gt;"",J96*GT_disp,IF(AND(G96&lt;&gt;"",H96&lt;&gt;"",L96&lt;&gt;""),G96*H96*L96*Cb*Rho_sw,""))</f>
        <v/>
      </c>
      <c r="N96" s="2">
        <f>IF(F96="","",IF(AND(M96&lt;&gt;"",E96&lt;&gt;""),MIN(M96^(2/3)*F96^3/C_adm,E96*HP_kW*Load),IF(M96&lt;&gt;"",M96^(2/3)*F96^3/C_adm,IF(E96&lt;&gt;"",E96*HP_kW*Load,""))))</f>
        <v/>
      </c>
      <c r="O96" s="2">
        <f>IF(N96="","",N96*BSFC/Rho_fuel)</f>
        <v/>
      </c>
      <c r="P96" s="2">
        <f>IF(OR(O96="",F96=""),"",O96/F96)</f>
        <v/>
      </c>
      <c r="Q96" s="2">
        <f>IF(OR(P96="",D96=""),"",P96/D96)</f>
        <v/>
      </c>
      <c r="R96" s="2">
        <f>IF(K96&lt;&gt;"",K96,RepRoutePerDay)</f>
        <v/>
      </c>
      <c r="S96" s="2">
        <f>IF(Q96="","",ROUND(Q96*R96,1))</f>
        <v/>
      </c>
      <c r="T96" s="2">
        <f>IF(E96="",PenEngine,1)*IF(G96="",PenMissing,1)*IF(F96="",PenMissing,1)*IF(D96="",PenMissing,1)</f>
        <v/>
      </c>
      <c r="U96" s="2">
        <f>IFERROR(IF(S96="","",100*(MAX($S$2:$S$127)-S96)/(MAX($S$2:$S$127)-MIN($S$2:$S$127))),"")</f>
        <v/>
      </c>
      <c r="V96" s="2">
        <f>IF(U96="","",ROUND(U96*T96,1))</f>
        <v/>
      </c>
      <c r="W96" t="inlineStr">
        <is>
          <t>no_engine_data, missing_length_m, missing_beam_m, missing_speed_kn, missing_crew_count, missing_price_per_day</t>
        </is>
      </c>
    </row>
    <row r="97">
      <c r="A97" s="2">
        <f>IF(V97="","",RANK(V97,$V$2:$V$127))</f>
        <v/>
      </c>
      <c r="B97" t="inlineStr">
        <is>
          <t>Floreana</t>
        </is>
      </c>
      <c r="C97" t="inlineStr">
        <is>
          <t>Small Yacht</t>
        </is>
      </c>
      <c r="D97" s="3" t="n">
        <v>16</v>
      </c>
      <c r="E97" s="3" t="n"/>
      <c r="F97" s="3" t="n">
        <v>10</v>
      </c>
      <c r="G97" s="3" t="n">
        <v>23.8</v>
      </c>
      <c r="H97" s="3" t="n"/>
      <c r="I97" s="3" t="n"/>
      <c r="J97" s="3" t="n"/>
      <c r="K97" s="3" t="n">
        <v>34.7</v>
      </c>
      <c r="L97" s="2">
        <f>IF(I97&lt;&gt;"",I97,IF(G97&lt;&gt;"",MAX(DraftMin,DraftK*G97),""))</f>
        <v/>
      </c>
      <c r="M97" s="2">
        <f>IF(J97&lt;&gt;"",J97*GT_disp,IF(AND(G97&lt;&gt;"",H97&lt;&gt;"",L97&lt;&gt;""),G97*H97*L97*Cb*Rho_sw,""))</f>
        <v/>
      </c>
      <c r="N97" s="2">
        <f>IF(F97="","",IF(AND(M97&lt;&gt;"",E97&lt;&gt;""),MIN(M97^(2/3)*F97^3/C_adm,E97*HP_kW*Load),IF(M97&lt;&gt;"",M97^(2/3)*F97^3/C_adm,IF(E97&lt;&gt;"",E97*HP_kW*Load,""))))</f>
        <v/>
      </c>
      <c r="O97" s="2">
        <f>IF(N97="","",N97*BSFC/Rho_fuel)</f>
        <v/>
      </c>
      <c r="P97" s="2">
        <f>IF(OR(O97="",F97=""),"",O97/F97)</f>
        <v/>
      </c>
      <c r="Q97" s="2">
        <f>IF(OR(P97="",D97=""),"",P97/D97)</f>
        <v/>
      </c>
      <c r="R97" s="2">
        <f>IF(K97&lt;&gt;"",K97,RepRoutePerDay)</f>
        <v/>
      </c>
      <c r="S97" s="2">
        <f>IF(Q97="","",ROUND(Q97*R97,1))</f>
        <v/>
      </c>
      <c r="T97" s="2">
        <f>IF(E97="",PenEngine,1)*IF(G97="",PenMissing,1)*IF(F97="",PenMissing,1)*IF(D97="",PenMissing,1)</f>
        <v/>
      </c>
      <c r="U97" s="2">
        <f>IFERROR(IF(S97="","",100*(MAX($S$2:$S$127)-S97)/(MAX($S$2:$S$127)-MIN($S$2:$S$127))),"")</f>
        <v/>
      </c>
      <c r="V97" s="2">
        <f>IF(U97="","",ROUND(U97*T97,1))</f>
        <v/>
      </c>
      <c r="W97" t="inlineStr">
        <is>
          <t>no_engine_data, missing_beam_m, missing_crew_count, missing_price_per_day</t>
        </is>
      </c>
    </row>
    <row r="98">
      <c r="A98" s="2">
        <f>IF(V98="","",RANK(V98,$V$2:$V$127))</f>
        <v/>
      </c>
      <c r="B98" t="inlineStr">
        <is>
          <t>Fragata</t>
        </is>
      </c>
      <c r="C98" t="inlineStr">
        <is>
          <t>Yacht</t>
        </is>
      </c>
      <c r="D98" s="3" t="n">
        <v>16</v>
      </c>
      <c r="E98" s="3" t="n"/>
      <c r="F98" s="3" t="n">
        <v>8</v>
      </c>
      <c r="G98" s="3" t="n">
        <v>22</v>
      </c>
      <c r="H98" s="3" t="n"/>
      <c r="I98" s="3" t="n"/>
      <c r="J98" s="3" t="n"/>
      <c r="K98" s="3" t="n">
        <v>36</v>
      </c>
      <c r="L98" s="2">
        <f>IF(I98&lt;&gt;"",I98,IF(G98&lt;&gt;"",MAX(DraftMin,DraftK*G98),""))</f>
        <v/>
      </c>
      <c r="M98" s="2">
        <f>IF(J98&lt;&gt;"",J98*GT_disp,IF(AND(G98&lt;&gt;"",H98&lt;&gt;"",L98&lt;&gt;""),G98*H98*L98*Cb*Rho_sw,""))</f>
        <v/>
      </c>
      <c r="N98" s="2">
        <f>IF(F98="","",IF(AND(M98&lt;&gt;"",E98&lt;&gt;""),MIN(M98^(2/3)*F98^3/C_adm,E98*HP_kW*Load),IF(M98&lt;&gt;"",M98^(2/3)*F98^3/C_adm,IF(E98&lt;&gt;"",E98*HP_kW*Load,""))))</f>
        <v/>
      </c>
      <c r="O98" s="2">
        <f>IF(N98="","",N98*BSFC/Rho_fuel)</f>
        <v/>
      </c>
      <c r="P98" s="2">
        <f>IF(OR(O98="",F98=""),"",O98/F98)</f>
        <v/>
      </c>
      <c r="Q98" s="2">
        <f>IF(OR(P98="",D98=""),"",P98/D98)</f>
        <v/>
      </c>
      <c r="R98" s="2">
        <f>IF(K98&lt;&gt;"",K98,RepRoutePerDay)</f>
        <v/>
      </c>
      <c r="S98" s="2">
        <f>IF(Q98="","",ROUND(Q98*R98,1))</f>
        <v/>
      </c>
      <c r="T98" s="2">
        <f>IF(E98="",PenEngine,1)*IF(G98="",PenMissing,1)*IF(F98="",PenMissing,1)*IF(D98="",PenMissing,1)</f>
        <v/>
      </c>
      <c r="U98" s="2">
        <f>IFERROR(IF(S98="","",100*(MAX($S$2:$S$127)-S98)/(MAX($S$2:$S$127)-MIN($S$2:$S$127))),"")</f>
        <v/>
      </c>
      <c r="V98" s="2">
        <f>IF(U98="","",ROUND(U98*T98,1))</f>
        <v/>
      </c>
      <c r="W98" t="inlineStr">
        <is>
          <t>missing_beam_m</t>
        </is>
      </c>
    </row>
    <row r="99">
      <c r="A99" s="2">
        <f>IF(V99="","",RANK(V99,$V$2:$V$127))</f>
        <v/>
      </c>
      <c r="B99" t="inlineStr">
        <is>
          <t>Galaxy Diver</t>
        </is>
      </c>
      <c r="C99" t="inlineStr">
        <is>
          <t>Monohull</t>
        </is>
      </c>
      <c r="D99" s="3" t="n">
        <v>12</v>
      </c>
      <c r="E99" s="3" t="n"/>
      <c r="F99" s="3" t="n"/>
      <c r="G99" s="3" t="n"/>
      <c r="H99" s="3" t="n"/>
      <c r="I99" s="3" t="n"/>
      <c r="J99" s="3" t="n"/>
      <c r="K99" s="3" t="n"/>
      <c r="L99" s="2">
        <f>IF(I99&lt;&gt;"",I99,IF(G99&lt;&gt;"",MAX(DraftMin,DraftK*G99),""))</f>
        <v/>
      </c>
      <c r="M99" s="2">
        <f>IF(J99&lt;&gt;"",J99*GT_disp,IF(AND(G99&lt;&gt;"",H99&lt;&gt;"",L99&lt;&gt;""),G99*H99*L99*Cb*Rho_sw,""))</f>
        <v/>
      </c>
      <c r="N99" s="2">
        <f>IF(F99="","",IF(AND(M99&lt;&gt;"",E99&lt;&gt;""),MIN(M99^(2/3)*F99^3/C_adm,E99*HP_kW*Load),IF(M99&lt;&gt;"",M99^(2/3)*F99^3/C_adm,IF(E99&lt;&gt;"",E99*HP_kW*Load,""))))</f>
        <v/>
      </c>
      <c r="O99" s="2">
        <f>IF(N99="","",N99*BSFC/Rho_fuel)</f>
        <v/>
      </c>
      <c r="P99" s="2">
        <f>IF(OR(O99="",F99=""),"",O99/F99)</f>
        <v/>
      </c>
      <c r="Q99" s="2">
        <f>IF(OR(P99="",D99=""),"",P99/D99)</f>
        <v/>
      </c>
      <c r="R99" s="2">
        <f>IF(K99&lt;&gt;"",K99,RepRoutePerDay)</f>
        <v/>
      </c>
      <c r="S99" s="2">
        <f>IF(Q99="","",ROUND(Q99*R99,1))</f>
        <v/>
      </c>
      <c r="T99" s="2">
        <f>IF(E99="",PenEngine,1)*IF(G99="",PenMissing,1)*IF(F99="",PenMissing,1)*IF(D99="",PenMissing,1)</f>
        <v/>
      </c>
      <c r="U99" s="2">
        <f>IFERROR(IF(S99="","",100*(MAX($S$2:$S$127)-S99)/(MAX($S$2:$S$127)-MIN($S$2:$S$127))),"")</f>
        <v/>
      </c>
      <c r="V99" s="2">
        <f>IF(U99="","",ROUND(U99*T99,1))</f>
        <v/>
      </c>
      <c r="W99" t="inlineStr">
        <is>
          <t>no_engine_data, missing_length_m, missing_beam_m, missing_speed_kn, missing_crew_count, missing_price_per_day</t>
        </is>
      </c>
    </row>
    <row r="100">
      <c r="A100" s="2">
        <f>IF(V100="","",RANK(V100,$V$2:$V$127))</f>
        <v/>
      </c>
      <c r="B100" t="inlineStr">
        <is>
          <t>Go Quito Hotel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2">
        <f>IF(I100&lt;&gt;"",I100,IF(G100&lt;&gt;"",MAX(DraftMin,DraftK*G100),""))</f>
        <v/>
      </c>
      <c r="M100" s="2">
        <f>IF(J100&lt;&gt;"",J100*GT_disp,IF(AND(G100&lt;&gt;"",H100&lt;&gt;"",L100&lt;&gt;""),G100*H100*L100*Cb*Rho_sw,""))</f>
        <v/>
      </c>
      <c r="N100" s="2">
        <f>IF(F100="","",IF(AND(M100&lt;&gt;"",E100&lt;&gt;""),MIN(M100^(2/3)*F100^3/C_adm,E100*HP_kW*Load),IF(M100&lt;&gt;"",M100^(2/3)*F100^3/C_adm,IF(E100&lt;&gt;"",E100*HP_kW*Load,""))))</f>
        <v/>
      </c>
      <c r="O100" s="2">
        <f>IF(N100="","",N100*BSFC/Rho_fuel)</f>
        <v/>
      </c>
      <c r="P100" s="2">
        <f>IF(OR(O100="",F100=""),"",O100/F100)</f>
        <v/>
      </c>
      <c r="Q100" s="2">
        <f>IF(OR(P100="",D100=""),"",P100/D100)</f>
        <v/>
      </c>
      <c r="R100" s="2">
        <f>IF(K100&lt;&gt;"",K100,RepRoutePerDay)</f>
        <v/>
      </c>
      <c r="S100" s="2">
        <f>IF(Q100="","",ROUND(Q100*R100,1))</f>
        <v/>
      </c>
      <c r="T100" s="2">
        <f>IF(E100="",PenEngine,1)*IF(G100="",PenMissing,1)*IF(F100="",PenMissing,1)*IF(D100="",PenMissing,1)</f>
        <v/>
      </c>
      <c r="U100" s="2">
        <f>IFERROR(IF(S100="","",100*(MAX($S$2:$S$127)-S100)/(MAX($S$2:$S$127)-MIN($S$2:$S$127))),"")</f>
        <v/>
      </c>
      <c r="V100" s="2">
        <f>IF(U100="","",ROUND(U100*T100,1))</f>
        <v/>
      </c>
      <c r="W100" t="inlineStr">
        <is>
          <t>no_engine_data, missing_length_m, missing_beam_m, missing_speed_kn, missing_crew_count, missing_price_per_day</t>
        </is>
      </c>
    </row>
    <row r="101">
      <c r="A101" s="2">
        <f>IF(V101="","",RANK(V101,$V$2:$V$127))</f>
        <v/>
      </c>
      <c r="B101" t="inlineStr">
        <is>
          <t>Grand Majestic</t>
        </is>
      </c>
      <c r="C101" t="inlineStr">
        <is>
          <t>Yacht</t>
        </is>
      </c>
      <c r="D101" s="3" t="n">
        <v>16</v>
      </c>
      <c r="E101" s="3" t="n">
        <v>2400</v>
      </c>
      <c r="F101" s="3" t="n"/>
      <c r="G101" s="3" t="n">
        <v>39</v>
      </c>
      <c r="H101" s="3" t="n"/>
      <c r="I101" s="3" t="n">
        <v>2</v>
      </c>
      <c r="J101" s="3" t="n"/>
      <c r="K101" s="3" t="n">
        <v>43.8</v>
      </c>
      <c r="L101" s="2">
        <f>IF(I101&lt;&gt;"",I101,IF(G101&lt;&gt;"",MAX(DraftMin,DraftK*G101),""))</f>
        <v/>
      </c>
      <c r="M101" s="2">
        <f>IF(J101&lt;&gt;"",J101*GT_disp,IF(AND(G101&lt;&gt;"",H101&lt;&gt;"",L101&lt;&gt;""),G101*H101*L101*Cb*Rho_sw,""))</f>
        <v/>
      </c>
      <c r="N101" s="2">
        <f>IF(F101="","",IF(AND(M101&lt;&gt;"",E101&lt;&gt;""),MIN(M101^(2/3)*F101^3/C_adm,E101*HP_kW*Load),IF(M101&lt;&gt;"",M101^(2/3)*F101^3/C_adm,IF(E101&lt;&gt;"",E101*HP_kW*Load,""))))</f>
        <v/>
      </c>
      <c r="O101" s="2">
        <f>IF(N101="","",N101*BSFC/Rho_fuel)</f>
        <v/>
      </c>
      <c r="P101" s="2">
        <f>IF(OR(O101="",F101=""),"",O101/F101)</f>
        <v/>
      </c>
      <c r="Q101" s="2">
        <f>IF(OR(P101="",D101=""),"",P101/D101)</f>
        <v/>
      </c>
      <c r="R101" s="2">
        <f>IF(K101&lt;&gt;"",K101,RepRoutePerDay)</f>
        <v/>
      </c>
      <c r="S101" s="2">
        <f>IF(Q101="","",ROUND(Q101*R101,1))</f>
        <v/>
      </c>
      <c r="T101" s="2">
        <f>IF(E101="",PenEngine,1)*IF(G101="",PenMissing,1)*IF(F101="",PenMissing,1)*IF(D101="",PenMissing,1)</f>
        <v/>
      </c>
      <c r="U101" s="2">
        <f>IFERROR(IF(S101="","",100*(MAX($S$2:$S$127)-S101)/(MAX($S$2:$S$127)-MIN($S$2:$S$127))),"")</f>
        <v/>
      </c>
      <c r="V101" s="2">
        <f>IF(U101="","",ROUND(U101*T101,1))</f>
        <v/>
      </c>
      <c r="W101" t="inlineStr">
        <is>
          <t>missing_beam_m, missing_speed_kn</t>
        </is>
      </c>
    </row>
    <row r="102">
      <c r="A102" s="2">
        <f>IF(V102="","",RANK(V102,$V$2:$V$127))</f>
        <v/>
      </c>
      <c r="B102" t="inlineStr">
        <is>
          <t>Grand Ocean Spray</t>
        </is>
      </c>
      <c r="C102" t="inlineStr">
        <is>
          <t>Catamaran</t>
        </is>
      </c>
      <c r="D102" s="3" t="n">
        <v>16</v>
      </c>
      <c r="E102" s="3" t="n"/>
      <c r="F102" s="3" t="n">
        <v>12</v>
      </c>
      <c r="G102" s="3" t="n">
        <v>20</v>
      </c>
      <c r="H102" s="3" t="n"/>
      <c r="I102" s="3" t="n">
        <v>2.2</v>
      </c>
      <c r="J102" s="3" t="n"/>
      <c r="K102" s="3" t="n"/>
      <c r="L102" s="2">
        <f>IF(I102&lt;&gt;"",I102,IF(G102&lt;&gt;"",MAX(DraftMin,DraftK*G102),""))</f>
        <v/>
      </c>
      <c r="M102" s="2">
        <f>IF(J102&lt;&gt;"",J102*GT_disp,IF(AND(G102&lt;&gt;"",H102&lt;&gt;"",L102&lt;&gt;""),G102*H102*L102*Cb*Rho_sw,""))</f>
        <v/>
      </c>
      <c r="N102" s="2">
        <f>IF(F102="","",IF(AND(M102&lt;&gt;"",E102&lt;&gt;""),MIN(M102^(2/3)*F102^3/C_adm,E102*HP_kW*Load),IF(M102&lt;&gt;"",M102^(2/3)*F102^3/C_adm,IF(E102&lt;&gt;"",E102*HP_kW*Load,""))))</f>
        <v/>
      </c>
      <c r="O102" s="2">
        <f>IF(N102="","",N102*BSFC/Rho_fuel)</f>
        <v/>
      </c>
      <c r="P102" s="2">
        <f>IF(OR(O102="",F102=""),"",O102/F102)</f>
        <v/>
      </c>
      <c r="Q102" s="2">
        <f>IF(OR(P102="",D102=""),"",P102/D102)</f>
        <v/>
      </c>
      <c r="R102" s="2">
        <f>IF(K102&lt;&gt;"",K102,RepRoutePerDay)</f>
        <v/>
      </c>
      <c r="S102" s="2">
        <f>IF(Q102="","",ROUND(Q102*R102,1))</f>
        <v/>
      </c>
      <c r="T102" s="2">
        <f>IF(E102="",PenEngine,1)*IF(G102="",PenMissing,1)*IF(F102="",PenMissing,1)*IF(D102="",PenMissing,1)</f>
        <v/>
      </c>
      <c r="U102" s="2">
        <f>IFERROR(IF(S102="","",100*(MAX($S$2:$S$127)-S102)/(MAX($S$2:$S$127)-MIN($S$2:$S$127))),"")</f>
        <v/>
      </c>
      <c r="V102" s="2">
        <f>IF(U102="","",ROUND(U102*T102,1))</f>
        <v/>
      </c>
      <c r="W102" t="inlineStr">
        <is>
          <t>length_ft_m_mismatch, no_engine_data, missing_beam_m, missing_price_per_day</t>
        </is>
      </c>
    </row>
    <row r="103">
      <c r="A103" s="2">
        <f>IF(V103="","",RANK(V103,$V$2:$V$127))</f>
        <v/>
      </c>
      <c r="B103" t="inlineStr">
        <is>
          <t>Humboldt Explorer</t>
        </is>
      </c>
      <c r="C103" t="inlineStr">
        <is>
          <t>Yacht</t>
        </is>
      </c>
      <c r="D103" s="3" t="n">
        <v>16</v>
      </c>
      <c r="E103" s="3" t="n"/>
      <c r="F103" s="3" t="n">
        <v>10</v>
      </c>
      <c r="G103" s="3" t="n"/>
      <c r="H103" s="3" t="n">
        <v>6</v>
      </c>
      <c r="I103" s="3" t="n">
        <v>2.5</v>
      </c>
      <c r="J103" s="3" t="n"/>
      <c r="K103" s="3" t="n"/>
      <c r="L103" s="2">
        <f>IF(I103&lt;&gt;"",I103,IF(G103&lt;&gt;"",MAX(DraftMin,DraftK*G103),""))</f>
        <v/>
      </c>
      <c r="M103" s="2">
        <f>IF(J103&lt;&gt;"",J103*GT_disp,IF(AND(G103&lt;&gt;"",H103&lt;&gt;"",L103&lt;&gt;""),G103*H103*L103*Cb*Rho_sw,""))</f>
        <v/>
      </c>
      <c r="N103" s="2">
        <f>IF(F103="","",IF(AND(M103&lt;&gt;"",E103&lt;&gt;""),MIN(M103^(2/3)*F103^3/C_adm,E103*HP_kW*Load),IF(M103&lt;&gt;"",M103^(2/3)*F103^3/C_adm,IF(E103&lt;&gt;"",E103*HP_kW*Load,""))))</f>
        <v/>
      </c>
      <c r="O103" s="2">
        <f>IF(N103="","",N103*BSFC/Rho_fuel)</f>
        <v/>
      </c>
      <c r="P103" s="2">
        <f>IF(OR(O103="",F103=""),"",O103/F103)</f>
        <v/>
      </c>
      <c r="Q103" s="2">
        <f>IF(OR(P103="",D103=""),"",P103/D103)</f>
        <v/>
      </c>
      <c r="R103" s="2">
        <f>IF(K103&lt;&gt;"",K103,RepRoutePerDay)</f>
        <v/>
      </c>
      <c r="S103" s="2">
        <f>IF(Q103="","",ROUND(Q103*R103,1))</f>
        <v/>
      </c>
      <c r="T103" s="2">
        <f>IF(E103="",PenEngine,1)*IF(G103="",PenMissing,1)*IF(F103="",PenMissing,1)*IF(D103="",PenMissing,1)</f>
        <v/>
      </c>
      <c r="U103" s="2">
        <f>IFERROR(IF(S103="","",100*(MAX($S$2:$S$127)-S103)/(MAX($S$2:$S$127)-MIN($S$2:$S$127))),"")</f>
        <v/>
      </c>
      <c r="V103" s="2">
        <f>IF(U103="","",ROUND(U103*T103,1))</f>
        <v/>
      </c>
      <c r="W103" t="inlineStr">
        <is>
          <t>length_ft_m_mismatch, length_out_of_range, no_engine_data, missing_length_m, missing_price_per_day</t>
        </is>
      </c>
    </row>
    <row r="104">
      <c r="A104" s="2">
        <f>IF(V104="","",RANK(V104,$V$2:$V$127))</f>
        <v/>
      </c>
      <c r="B104" t="inlineStr">
        <is>
          <t>Köln</t>
        </is>
      </c>
      <c r="C104" t="inlineStr">
        <is>
          <t>Small Yacht</t>
        </is>
      </c>
      <c r="D104" s="3" t="n">
        <v>16</v>
      </c>
      <c r="E104" s="3" t="n"/>
      <c r="F104" s="3" t="n">
        <v>12</v>
      </c>
      <c r="G104" s="3" t="n">
        <v>31.7</v>
      </c>
      <c r="H104" s="3" t="n"/>
      <c r="I104" s="3" t="n"/>
      <c r="J104" s="3" t="n"/>
      <c r="K104" s="3" t="n"/>
      <c r="L104" s="2">
        <f>IF(I104&lt;&gt;"",I104,IF(G104&lt;&gt;"",MAX(DraftMin,DraftK*G104),""))</f>
        <v/>
      </c>
      <c r="M104" s="2">
        <f>IF(J104&lt;&gt;"",J104*GT_disp,IF(AND(G104&lt;&gt;"",H104&lt;&gt;"",L104&lt;&gt;""),G104*H104*L104*Cb*Rho_sw,""))</f>
        <v/>
      </c>
      <c r="N104" s="2">
        <f>IF(F104="","",IF(AND(M104&lt;&gt;"",E104&lt;&gt;""),MIN(M104^(2/3)*F104^3/C_adm,E104*HP_kW*Load),IF(M104&lt;&gt;"",M104^(2/3)*F104^3/C_adm,IF(E104&lt;&gt;"",E104*HP_kW*Load,""))))</f>
        <v/>
      </c>
      <c r="O104" s="2">
        <f>IF(N104="","",N104*BSFC/Rho_fuel)</f>
        <v/>
      </c>
      <c r="P104" s="2">
        <f>IF(OR(O104="",F104=""),"",O104/F104)</f>
        <v/>
      </c>
      <c r="Q104" s="2">
        <f>IF(OR(P104="",D104=""),"",P104/D104)</f>
        <v/>
      </c>
      <c r="R104" s="2">
        <f>IF(K104&lt;&gt;"",K104,RepRoutePerDay)</f>
        <v/>
      </c>
      <c r="S104" s="2">
        <f>IF(Q104="","",ROUND(Q104*R104,1))</f>
        <v/>
      </c>
      <c r="T104" s="2">
        <f>IF(E104="",PenEngine,1)*IF(G104="",PenMissing,1)*IF(F104="",PenMissing,1)*IF(D104="",PenMissing,1)</f>
        <v/>
      </c>
      <c r="U104" s="2">
        <f>IFERROR(IF(S104="","",100*(MAX($S$2:$S$127)-S104)/(MAX($S$2:$S$127)-MIN($S$2:$S$127))),"")</f>
        <v/>
      </c>
      <c r="V104" s="2">
        <f>IF(U104="","",ROUND(U104*T104,1))</f>
        <v/>
      </c>
      <c r="W104" t="inlineStr">
        <is>
          <t>no_engine_data, missing_beam_m, missing_crew_count, missing_price_per_day</t>
        </is>
      </c>
    </row>
    <row r="105">
      <c r="A105" s="2">
        <f>IF(V105="","",RANK(V105,$V$2:$V$127))</f>
        <v/>
      </c>
      <c r="B105" t="inlineStr">
        <is>
          <t>King of the Sea</t>
        </is>
      </c>
      <c r="C105" t="inlineStr">
        <is>
          <t>Monohull</t>
        </is>
      </c>
      <c r="D105" s="3" t="n">
        <v>12</v>
      </c>
      <c r="E105" s="3" t="n"/>
      <c r="F105" s="3" t="n"/>
      <c r="G105" s="3" t="n"/>
      <c r="H105" s="3" t="n"/>
      <c r="I105" s="3" t="n"/>
      <c r="J105" s="3" t="n"/>
      <c r="K105" s="3" t="n">
        <v>34.1</v>
      </c>
      <c r="L105" s="2">
        <f>IF(I105&lt;&gt;"",I105,IF(G105&lt;&gt;"",MAX(DraftMin,DraftK*G105),""))</f>
        <v/>
      </c>
      <c r="M105" s="2">
        <f>IF(J105&lt;&gt;"",J105*GT_disp,IF(AND(G105&lt;&gt;"",H105&lt;&gt;"",L105&lt;&gt;""),G105*H105*L105*Cb*Rho_sw,""))</f>
        <v/>
      </c>
      <c r="N105" s="2">
        <f>IF(F105="","",IF(AND(M105&lt;&gt;"",E105&lt;&gt;""),MIN(M105^(2/3)*F105^3/C_adm,E105*HP_kW*Load),IF(M105&lt;&gt;"",M105^(2/3)*F105^3/C_adm,IF(E105&lt;&gt;"",E105*HP_kW*Load,""))))</f>
        <v/>
      </c>
      <c r="O105" s="2">
        <f>IF(N105="","",N105*BSFC/Rho_fuel)</f>
        <v/>
      </c>
      <c r="P105" s="2">
        <f>IF(OR(O105="",F105=""),"",O105/F105)</f>
        <v/>
      </c>
      <c r="Q105" s="2">
        <f>IF(OR(P105="",D105=""),"",P105/D105)</f>
        <v/>
      </c>
      <c r="R105" s="2">
        <f>IF(K105&lt;&gt;"",K105,RepRoutePerDay)</f>
        <v/>
      </c>
      <c r="S105" s="2">
        <f>IF(Q105="","",ROUND(Q105*R105,1))</f>
        <v/>
      </c>
      <c r="T105" s="2">
        <f>IF(E105="",PenEngine,1)*IF(G105="",PenMissing,1)*IF(F105="",PenMissing,1)*IF(D105="",PenMissing,1)</f>
        <v/>
      </c>
      <c r="U105" s="2">
        <f>IFERROR(IF(S105="","",100*(MAX($S$2:$S$127)-S105)/(MAX($S$2:$S$127)-MIN($S$2:$S$127))),"")</f>
        <v/>
      </c>
      <c r="V105" s="2">
        <f>IF(U105="","",ROUND(U105*T105,1))</f>
        <v/>
      </c>
      <c r="W105" t="inlineStr">
        <is>
          <t>no_engine_data, missing_length_m, missing_beam_m, missing_speed_kn, missing_crew_count, missing_price_per_day</t>
        </is>
      </c>
    </row>
    <row r="106">
      <c r="A106" s="2">
        <f>IF(V106="","",RANK(V106,$V$2:$V$127))</f>
        <v/>
      </c>
      <c r="B106" t="inlineStr">
        <is>
          <t>Mary Anne</t>
        </is>
      </c>
      <c r="C106" t="inlineStr">
        <is>
          <t>Motor Sailboat</t>
        </is>
      </c>
      <c r="D106" s="3" t="n">
        <v>16</v>
      </c>
      <c r="E106" s="3" t="n"/>
      <c r="F106" s="3" t="n">
        <v>8</v>
      </c>
      <c r="G106" s="3" t="n">
        <v>52.4</v>
      </c>
      <c r="H106" s="3" t="n"/>
      <c r="I106" s="3" t="n"/>
      <c r="J106" s="3" t="n"/>
      <c r="K106" s="3" t="n">
        <v>32.9</v>
      </c>
      <c r="L106" s="2">
        <f>IF(I106&lt;&gt;"",I106,IF(G106&lt;&gt;"",MAX(DraftMin,DraftK*G106),""))</f>
        <v/>
      </c>
      <c r="M106" s="2">
        <f>IF(J106&lt;&gt;"",J106*GT_disp,IF(AND(G106&lt;&gt;"",H106&lt;&gt;"",L106&lt;&gt;""),G106*H106*L106*Cb*Rho_sw,""))</f>
        <v/>
      </c>
      <c r="N106" s="2">
        <f>IF(F106="","",IF(AND(M106&lt;&gt;"",E106&lt;&gt;""),MIN(M106^(2/3)*F106^3/C_adm,E106*HP_kW*Load),IF(M106&lt;&gt;"",M106^(2/3)*F106^3/C_adm,IF(E106&lt;&gt;"",E106*HP_kW*Load,""))))</f>
        <v/>
      </c>
      <c r="O106" s="2">
        <f>IF(N106="","",N106*BSFC/Rho_fuel)</f>
        <v/>
      </c>
      <c r="P106" s="2">
        <f>IF(OR(O106="",F106=""),"",O106/F106)</f>
        <v/>
      </c>
      <c r="Q106" s="2">
        <f>IF(OR(P106="",D106=""),"",P106/D106)</f>
        <v/>
      </c>
      <c r="R106" s="2">
        <f>IF(K106&lt;&gt;"",K106,RepRoutePerDay)</f>
        <v/>
      </c>
      <c r="S106" s="2">
        <f>IF(Q106="","",ROUND(Q106*R106,1))</f>
        <v/>
      </c>
      <c r="T106" s="2">
        <f>IF(E106="",PenEngine,1)*IF(G106="",PenMissing,1)*IF(F106="",PenMissing,1)*IF(D106="",PenMissing,1)</f>
        <v/>
      </c>
      <c r="U106" s="2">
        <f>IFERROR(IF(S106="","",100*(MAX($S$2:$S$127)-S106)/(MAX($S$2:$S$127)-MIN($S$2:$S$127))),"")</f>
        <v/>
      </c>
      <c r="V106" s="2">
        <f>IF(U106="","",ROUND(U106*T106,1))</f>
        <v/>
      </c>
      <c r="W106" t="inlineStr">
        <is>
          <t>no_engine_data, missing_beam_m, missing_crew_count, missing_price_per_day</t>
        </is>
      </c>
    </row>
    <row r="107">
      <c r="A107" s="2">
        <f>IF(V107="","",RANK(V107,$V$2:$V$127))</f>
        <v/>
      </c>
      <c r="B107" t="inlineStr">
        <is>
          <t>Merak</t>
        </is>
      </c>
      <c r="C107" t="inlineStr">
        <is>
          <t>Motor Sailboat</t>
        </is>
      </c>
      <c r="D107" s="3" t="n">
        <v>8</v>
      </c>
      <c r="E107" s="3" t="n"/>
      <c r="F107" s="3" t="n">
        <v>15</v>
      </c>
      <c r="G107" s="3" t="n"/>
      <c r="H107" s="3" t="n"/>
      <c r="I107" s="3" t="n"/>
      <c r="J107" s="3" t="n"/>
      <c r="K107" s="3" t="n">
        <v>29.7</v>
      </c>
      <c r="L107" s="2">
        <f>IF(I107&lt;&gt;"",I107,IF(G107&lt;&gt;"",MAX(DraftMin,DraftK*G107),""))</f>
        <v/>
      </c>
      <c r="M107" s="2">
        <f>IF(J107&lt;&gt;"",J107*GT_disp,IF(AND(G107&lt;&gt;"",H107&lt;&gt;"",L107&lt;&gt;""),G107*H107*L107*Cb*Rho_sw,""))</f>
        <v/>
      </c>
      <c r="N107" s="2">
        <f>IF(F107="","",IF(AND(M107&lt;&gt;"",E107&lt;&gt;""),MIN(M107^(2/3)*F107^3/C_adm,E107*HP_kW*Load),IF(M107&lt;&gt;"",M107^(2/3)*F107^3/C_adm,IF(E107&lt;&gt;"",E107*HP_kW*Load,""))))</f>
        <v/>
      </c>
      <c r="O107" s="2">
        <f>IF(N107="","",N107*BSFC/Rho_fuel)</f>
        <v/>
      </c>
      <c r="P107" s="2">
        <f>IF(OR(O107="",F107=""),"",O107/F107)</f>
        <v/>
      </c>
      <c r="Q107" s="2">
        <f>IF(OR(P107="",D107=""),"",P107/D107)</f>
        <v/>
      </c>
      <c r="R107" s="2">
        <f>IF(K107&lt;&gt;"",K107,RepRoutePerDay)</f>
        <v/>
      </c>
      <c r="S107" s="2">
        <f>IF(Q107="","",ROUND(Q107*R107,1))</f>
        <v/>
      </c>
      <c r="T107" s="2">
        <f>IF(E107="",PenEngine,1)*IF(G107="",PenMissing,1)*IF(F107="",PenMissing,1)*IF(D107="",PenMissing,1)</f>
        <v/>
      </c>
      <c r="U107" s="2">
        <f>IFERROR(IF(S107="","",100*(MAX($S$2:$S$127)-S107)/(MAX($S$2:$S$127)-MIN($S$2:$S$127))),"")</f>
        <v/>
      </c>
      <c r="V107" s="2">
        <f>IF(U107="","",ROUND(U107*T107,1))</f>
        <v/>
      </c>
      <c r="W107" t="inlineStr">
        <is>
          <t>length_ft_m_mismatch, no_engine_data, missing_length_m, missing_beam_m, missing_crew_count, missing_price_per_day</t>
        </is>
      </c>
    </row>
    <row r="108">
      <c r="A108" s="2">
        <f>IF(V108="","",RANK(V108,$V$2:$V$127))</f>
        <v/>
      </c>
      <c r="B108" t="inlineStr">
        <is>
          <t>Millennium</t>
        </is>
      </c>
      <c r="C108" t="inlineStr">
        <is>
          <t>Motor Catamaran</t>
        </is>
      </c>
      <c r="D108" s="3" t="n">
        <v>16</v>
      </c>
      <c r="E108" s="3" t="n"/>
      <c r="F108" s="3" t="n">
        <v>9</v>
      </c>
      <c r="G108" s="3" t="n">
        <v>25</v>
      </c>
      <c r="H108" s="3" t="n"/>
      <c r="I108" s="3" t="n"/>
      <c r="J108" s="3" t="n"/>
      <c r="K108" s="3" t="n"/>
      <c r="L108" s="2">
        <f>IF(I108&lt;&gt;"",I108,IF(G108&lt;&gt;"",MAX(DraftMin,DraftK*G108),""))</f>
        <v/>
      </c>
      <c r="M108" s="2">
        <f>IF(J108&lt;&gt;"",J108*GT_disp,IF(AND(G108&lt;&gt;"",H108&lt;&gt;"",L108&lt;&gt;""),G108*H108*L108*Cb*Rho_sw,""))</f>
        <v/>
      </c>
      <c r="N108" s="2">
        <f>IF(F108="","",IF(AND(M108&lt;&gt;"",E108&lt;&gt;""),MIN(M108^(2/3)*F108^3/C_adm,E108*HP_kW*Load),IF(M108&lt;&gt;"",M108^(2/3)*F108^3/C_adm,IF(E108&lt;&gt;"",E108*HP_kW*Load,""))))</f>
        <v/>
      </c>
      <c r="O108" s="2">
        <f>IF(N108="","",N108*BSFC/Rho_fuel)</f>
        <v/>
      </c>
      <c r="P108" s="2">
        <f>IF(OR(O108="",F108=""),"",O108/F108)</f>
        <v/>
      </c>
      <c r="Q108" s="2">
        <f>IF(OR(P108="",D108=""),"",P108/D108)</f>
        <v/>
      </c>
      <c r="R108" s="2">
        <f>IF(K108&lt;&gt;"",K108,RepRoutePerDay)</f>
        <v/>
      </c>
      <c r="S108" s="2">
        <f>IF(Q108="","",ROUND(Q108*R108,1))</f>
        <v/>
      </c>
      <c r="T108" s="2">
        <f>IF(E108="",PenEngine,1)*IF(G108="",PenMissing,1)*IF(F108="",PenMissing,1)*IF(D108="",PenMissing,1)</f>
        <v/>
      </c>
      <c r="U108" s="2">
        <f>IFERROR(IF(S108="","",100*(MAX($S$2:$S$127)-S108)/(MAX($S$2:$S$127)-MIN($S$2:$S$127))),"")</f>
        <v/>
      </c>
      <c r="V108" s="2">
        <f>IF(U108="","",ROUND(U108*T108,1))</f>
        <v/>
      </c>
      <c r="W108" t="inlineStr">
        <is>
          <t>no_engine_data, missing_beam_m, missing_crew_count, missing_price_per_day</t>
        </is>
      </c>
    </row>
    <row r="109">
      <c r="A109" s="2">
        <f>IF(V109="","",RANK(V109,$V$2:$V$127))</f>
        <v/>
      </c>
      <c r="B109" t="inlineStr">
        <is>
          <t>National Geographic Gemini</t>
        </is>
      </c>
      <c r="C109" t="inlineStr">
        <is>
          <t>Yacht</t>
        </is>
      </c>
      <c r="D109" s="3" t="n">
        <v>48</v>
      </c>
      <c r="E109" s="3" t="n"/>
      <c r="F109" s="3" t="n">
        <v>15</v>
      </c>
      <c r="G109" s="3" t="n">
        <v>90.2</v>
      </c>
      <c r="H109" s="3" t="n"/>
      <c r="I109" s="3" t="n"/>
      <c r="J109" s="3" t="n"/>
      <c r="K109" s="3" t="n"/>
      <c r="L109" s="2">
        <f>IF(I109&lt;&gt;"",I109,IF(G109&lt;&gt;"",MAX(DraftMin,DraftK*G109),""))</f>
        <v/>
      </c>
      <c r="M109" s="2">
        <f>IF(J109&lt;&gt;"",J109*GT_disp,IF(AND(G109&lt;&gt;"",H109&lt;&gt;"",L109&lt;&gt;""),G109*H109*L109*Cb*Rho_sw,""))</f>
        <v/>
      </c>
      <c r="N109" s="2">
        <f>IF(F109="","",IF(AND(M109&lt;&gt;"",E109&lt;&gt;""),MIN(M109^(2/3)*F109^3/C_adm,E109*HP_kW*Load),IF(M109&lt;&gt;"",M109^(2/3)*F109^3/C_adm,IF(E109&lt;&gt;"",E109*HP_kW*Load,""))))</f>
        <v/>
      </c>
      <c r="O109" s="2">
        <f>IF(N109="","",N109*BSFC/Rho_fuel)</f>
        <v/>
      </c>
      <c r="P109" s="2">
        <f>IF(OR(O109="",F109=""),"",O109/F109)</f>
        <v/>
      </c>
      <c r="Q109" s="2">
        <f>IF(OR(P109="",D109=""),"",P109/D109)</f>
        <v/>
      </c>
      <c r="R109" s="2">
        <f>IF(K109&lt;&gt;"",K109,RepRoutePerDay)</f>
        <v/>
      </c>
      <c r="S109" s="2">
        <f>IF(Q109="","",ROUND(Q109*R109,1))</f>
        <v/>
      </c>
      <c r="T109" s="2">
        <f>IF(E109="",PenEngine,1)*IF(G109="",PenMissing,1)*IF(F109="",PenMissing,1)*IF(D109="",PenMissing,1)</f>
        <v/>
      </c>
      <c r="U109" s="2">
        <f>IFERROR(IF(S109="","",100*(MAX($S$2:$S$127)-S109)/(MAX($S$2:$S$127)-MIN($S$2:$S$127))),"")</f>
        <v/>
      </c>
      <c r="V109" s="2">
        <f>IF(U109="","",ROUND(U109*T109,1))</f>
        <v/>
      </c>
      <c r="W109" t="inlineStr">
        <is>
          <t>missing_beam_m, missing_crew_count, missing_price_per_day</t>
        </is>
      </c>
    </row>
    <row r="110">
      <c r="A110" s="2">
        <f>IF(V110="","",RANK(V110,$V$2:$V$127))</f>
        <v/>
      </c>
      <c r="B110" t="inlineStr">
        <is>
          <t>National Geographic Islander</t>
        </is>
      </c>
      <c r="C110" t="inlineStr">
        <is>
          <t>Small Yacht</t>
        </is>
      </c>
      <c r="D110" s="3" t="n">
        <v>48</v>
      </c>
      <c r="E110" s="3" t="n"/>
      <c r="F110" s="3" t="n"/>
      <c r="G110" s="3" t="n">
        <v>50</v>
      </c>
      <c r="H110" s="3" t="n"/>
      <c r="I110" s="3" t="n"/>
      <c r="J110" s="3" t="n"/>
      <c r="K110" s="3" t="n"/>
      <c r="L110" s="2">
        <f>IF(I110&lt;&gt;"",I110,IF(G110&lt;&gt;"",MAX(DraftMin,DraftK*G110),""))</f>
        <v/>
      </c>
      <c r="M110" s="2">
        <f>IF(J110&lt;&gt;"",J110*GT_disp,IF(AND(G110&lt;&gt;"",H110&lt;&gt;"",L110&lt;&gt;""),G110*H110*L110*Cb*Rho_sw,""))</f>
        <v/>
      </c>
      <c r="N110" s="2">
        <f>IF(F110="","",IF(AND(M110&lt;&gt;"",E110&lt;&gt;""),MIN(M110^(2/3)*F110^3/C_adm,E110*HP_kW*Load),IF(M110&lt;&gt;"",M110^(2/3)*F110^3/C_adm,IF(E110&lt;&gt;"",E110*HP_kW*Load,""))))</f>
        <v/>
      </c>
      <c r="O110" s="2">
        <f>IF(N110="","",N110*BSFC/Rho_fuel)</f>
        <v/>
      </c>
      <c r="P110" s="2">
        <f>IF(OR(O110="",F110=""),"",O110/F110)</f>
        <v/>
      </c>
      <c r="Q110" s="2">
        <f>IF(OR(P110="",D110=""),"",P110/D110)</f>
        <v/>
      </c>
      <c r="R110" s="2">
        <f>IF(K110&lt;&gt;"",K110,RepRoutePerDay)</f>
        <v/>
      </c>
      <c r="S110" s="2">
        <f>IF(Q110="","",ROUND(Q110*R110,1))</f>
        <v/>
      </c>
      <c r="T110" s="2">
        <f>IF(E110="",PenEngine,1)*IF(G110="",PenMissing,1)*IF(F110="",PenMissing,1)*IF(D110="",PenMissing,1)</f>
        <v/>
      </c>
      <c r="U110" s="2">
        <f>IFERROR(IF(S110="","",100*(MAX($S$2:$S$127)-S110)/(MAX($S$2:$S$127)-MIN($S$2:$S$127))),"")</f>
        <v/>
      </c>
      <c r="V110" s="2">
        <f>IF(U110="","",ROUND(U110*T110,1))</f>
        <v/>
      </c>
      <c r="W110" t="inlineStr">
        <is>
          <t>no_engine_data, missing_beam_m, missing_speed_kn, missing_crew_count, missing_price_per_day</t>
        </is>
      </c>
    </row>
    <row r="111">
      <c r="A111" s="2">
        <f>IF(V111="","",RANK(V111,$V$2:$V$127))</f>
        <v/>
      </c>
      <c r="B111" t="inlineStr">
        <is>
          <t>Nemo I</t>
        </is>
      </c>
      <c r="C111" t="inlineStr">
        <is>
          <t>Sailing Catamaran</t>
        </is>
      </c>
      <c r="D111" s="3" t="n">
        <v>16</v>
      </c>
      <c r="E111" s="3" t="n"/>
      <c r="F111" s="3" t="n"/>
      <c r="G111" s="3" t="n"/>
      <c r="H111" s="3" t="n">
        <v>10</v>
      </c>
      <c r="I111" s="3" t="n"/>
      <c r="J111" s="3" t="n"/>
      <c r="K111" s="3" t="n">
        <v>40.3</v>
      </c>
      <c r="L111" s="2">
        <f>IF(I111&lt;&gt;"",I111,IF(G111&lt;&gt;"",MAX(DraftMin,DraftK*G111),""))</f>
        <v/>
      </c>
      <c r="M111" s="2">
        <f>IF(J111&lt;&gt;"",J111*GT_disp,IF(AND(G111&lt;&gt;"",H111&lt;&gt;"",L111&lt;&gt;""),G111*H111*L111*Cb*Rho_sw,""))</f>
        <v/>
      </c>
      <c r="N111" s="2">
        <f>IF(F111="","",IF(AND(M111&lt;&gt;"",E111&lt;&gt;""),MIN(M111^(2/3)*F111^3/C_adm,E111*HP_kW*Load),IF(M111&lt;&gt;"",M111^(2/3)*F111^3/C_adm,IF(E111&lt;&gt;"",E111*HP_kW*Load,""))))</f>
        <v/>
      </c>
      <c r="O111" s="2">
        <f>IF(N111="","",N111*BSFC/Rho_fuel)</f>
        <v/>
      </c>
      <c r="P111" s="2">
        <f>IF(OR(O111="",F111=""),"",O111/F111)</f>
        <v/>
      </c>
      <c r="Q111" s="2">
        <f>IF(OR(P111="",D111=""),"",P111/D111)</f>
        <v/>
      </c>
      <c r="R111" s="2">
        <f>IF(K111&lt;&gt;"",K111,RepRoutePerDay)</f>
        <v/>
      </c>
      <c r="S111" s="2">
        <f>IF(Q111="","",ROUND(Q111*R111,1))</f>
        <v/>
      </c>
      <c r="T111" s="2">
        <f>IF(E111="",PenEngine,1)*IF(G111="",PenMissing,1)*IF(F111="",PenMissing,1)*IF(D111="",PenMissing,1)</f>
        <v/>
      </c>
      <c r="U111" s="2">
        <f>IFERROR(IF(S111="","",100*(MAX($S$2:$S$127)-S111)/(MAX($S$2:$S$127)-MIN($S$2:$S$127))),"")</f>
        <v/>
      </c>
      <c r="V111" s="2">
        <f>IF(U111="","",ROUND(U111*T111,1))</f>
        <v/>
      </c>
      <c r="W111" t="inlineStr">
        <is>
          <t>length_ft_m_mismatch, no_engine_data, missing_length_m, missing_speed_kn, missing_crew_count, missing_price_per_day</t>
        </is>
      </c>
    </row>
    <row r="112">
      <c r="A112" s="2">
        <f>IF(V112="","",RANK(V112,$V$2:$V$127))</f>
        <v/>
      </c>
      <c r="B112" t="inlineStr">
        <is>
          <t>Odyssey</t>
        </is>
      </c>
      <c r="C112" t="inlineStr">
        <is>
          <t>Small Yacht</t>
        </is>
      </c>
      <c r="D112" s="3" t="n">
        <v>16</v>
      </c>
      <c r="E112" s="3" t="n"/>
      <c r="F112" s="3" t="n">
        <v>10</v>
      </c>
      <c r="G112" s="3" t="n">
        <v>40.8</v>
      </c>
      <c r="H112" s="3" t="n"/>
      <c r="I112" s="3" t="n"/>
      <c r="J112" s="3" t="n"/>
      <c r="K112" s="3" t="n">
        <v>33.1</v>
      </c>
      <c r="L112" s="2">
        <f>IF(I112&lt;&gt;"",I112,IF(G112&lt;&gt;"",MAX(DraftMin,DraftK*G112),""))</f>
        <v/>
      </c>
      <c r="M112" s="2">
        <f>IF(J112&lt;&gt;"",J112*GT_disp,IF(AND(G112&lt;&gt;"",H112&lt;&gt;"",L112&lt;&gt;""),G112*H112*L112*Cb*Rho_sw,""))</f>
        <v/>
      </c>
      <c r="N112" s="2">
        <f>IF(F112="","",IF(AND(M112&lt;&gt;"",E112&lt;&gt;""),MIN(M112^(2/3)*F112^3/C_adm,E112*HP_kW*Load),IF(M112&lt;&gt;"",M112^(2/3)*F112^3/C_adm,IF(E112&lt;&gt;"",E112*HP_kW*Load,""))))</f>
        <v/>
      </c>
      <c r="O112" s="2">
        <f>IF(N112="","",N112*BSFC/Rho_fuel)</f>
        <v/>
      </c>
      <c r="P112" s="2">
        <f>IF(OR(O112="",F112=""),"",O112/F112)</f>
        <v/>
      </c>
      <c r="Q112" s="2">
        <f>IF(OR(P112="",D112=""),"",P112/D112)</f>
        <v/>
      </c>
      <c r="R112" s="2">
        <f>IF(K112&lt;&gt;"",K112,RepRoutePerDay)</f>
        <v/>
      </c>
      <c r="S112" s="2">
        <f>IF(Q112="","",ROUND(Q112*R112,1))</f>
        <v/>
      </c>
      <c r="T112" s="2">
        <f>IF(E112="",PenEngine,1)*IF(G112="",PenMissing,1)*IF(F112="",PenMissing,1)*IF(D112="",PenMissing,1)</f>
        <v/>
      </c>
      <c r="U112" s="2">
        <f>IFERROR(IF(S112="","",100*(MAX($S$2:$S$127)-S112)/(MAX($S$2:$S$127)-MIN($S$2:$S$127))),"")</f>
        <v/>
      </c>
      <c r="V112" s="2">
        <f>IF(U112="","",ROUND(U112*T112,1))</f>
        <v/>
      </c>
      <c r="W112" t="inlineStr">
        <is>
          <t>no_engine_data, missing_beam_m, missing_crew_count, missing_price_per_day</t>
        </is>
      </c>
    </row>
    <row r="113">
      <c r="A113" s="2">
        <f>IF(V113="","",RANK(V113,$V$2:$V$127))</f>
        <v/>
      </c>
      <c r="B113" t="inlineStr">
        <is>
          <t>Origin &amp; Theory</t>
        </is>
      </c>
      <c r="C113" t="inlineStr">
        <is>
          <t>Small Yacht</t>
        </is>
      </c>
      <c r="D113" s="3" t="n">
        <v>20</v>
      </c>
      <c r="E113" s="3" t="n"/>
      <c r="F113" s="3" t="n">
        <v>10</v>
      </c>
      <c r="G113" s="3" t="n"/>
      <c r="H113" s="3" t="n">
        <v>8</v>
      </c>
      <c r="I113" s="3" t="n"/>
      <c r="J113" s="3" t="n"/>
      <c r="K113" s="3" t="n"/>
      <c r="L113" s="2">
        <f>IF(I113&lt;&gt;"",I113,IF(G113&lt;&gt;"",MAX(DraftMin,DraftK*G113),""))</f>
        <v/>
      </c>
      <c r="M113" s="2">
        <f>IF(J113&lt;&gt;"",J113*GT_disp,IF(AND(G113&lt;&gt;"",H113&lt;&gt;"",L113&lt;&gt;""),G113*H113*L113*Cb*Rho_sw,""))</f>
        <v/>
      </c>
      <c r="N113" s="2">
        <f>IF(F113="","",IF(AND(M113&lt;&gt;"",E113&lt;&gt;""),MIN(M113^(2/3)*F113^3/C_adm,E113*HP_kW*Load),IF(M113&lt;&gt;"",M113^(2/3)*F113^3/C_adm,IF(E113&lt;&gt;"",E113*HP_kW*Load,""))))</f>
        <v/>
      </c>
      <c r="O113" s="2">
        <f>IF(N113="","",N113*BSFC/Rho_fuel)</f>
        <v/>
      </c>
      <c r="P113" s="2">
        <f>IF(OR(O113="",F113=""),"",O113/F113)</f>
        <v/>
      </c>
      <c r="Q113" s="2">
        <f>IF(OR(P113="",D113=""),"",P113/D113)</f>
        <v/>
      </c>
      <c r="R113" s="2">
        <f>IF(K113&lt;&gt;"",K113,RepRoutePerDay)</f>
        <v/>
      </c>
      <c r="S113" s="2">
        <f>IF(Q113="","",ROUND(Q113*R113,1))</f>
        <v/>
      </c>
      <c r="T113" s="2">
        <f>IF(E113="",PenEngine,1)*IF(G113="",PenMissing,1)*IF(F113="",PenMissing,1)*IF(D113="",PenMissing,1)</f>
        <v/>
      </c>
      <c r="U113" s="2">
        <f>IFERROR(IF(S113="","",100*(MAX($S$2:$S$127)-S113)/(MAX($S$2:$S$127)-MIN($S$2:$S$127))),"")</f>
        <v/>
      </c>
      <c r="V113" s="2">
        <f>IF(U113="","",ROUND(U113*T113,1))</f>
        <v/>
      </c>
      <c r="W113" t="inlineStr">
        <is>
          <t>length_ft_m_mismatch, no_engine_data, missing_length_m, missing_crew_count, missing_price_per_day</t>
        </is>
      </c>
    </row>
    <row r="114">
      <c r="A114" s="2">
        <f>IF(V114="","",RANK(V114,$V$2:$V$127))</f>
        <v/>
      </c>
      <c r="B114" t="inlineStr">
        <is>
          <t>Petrel</t>
        </is>
      </c>
      <c r="C114" t="inlineStr">
        <is>
          <t>Catamaran</t>
        </is>
      </c>
      <c r="D114" s="3" t="n">
        <v>16</v>
      </c>
      <c r="E114" s="3" t="n"/>
      <c r="F114" s="3" t="n">
        <v>10</v>
      </c>
      <c r="G114" s="3" t="n">
        <v>35.1</v>
      </c>
      <c r="H114" s="3" t="n"/>
      <c r="I114" s="3" t="n"/>
      <c r="J114" s="3" t="n"/>
      <c r="K114" s="3" t="n">
        <v>32.6</v>
      </c>
      <c r="L114" s="2">
        <f>IF(I114&lt;&gt;"",I114,IF(G114&lt;&gt;"",MAX(DraftMin,DraftK*G114),""))</f>
        <v/>
      </c>
      <c r="M114" s="2">
        <f>IF(J114&lt;&gt;"",J114*GT_disp,IF(AND(G114&lt;&gt;"",H114&lt;&gt;"",L114&lt;&gt;""),G114*H114*L114*Cb*Rho_sw,""))</f>
        <v/>
      </c>
      <c r="N114" s="2">
        <f>IF(F114="","",IF(AND(M114&lt;&gt;"",E114&lt;&gt;""),MIN(M114^(2/3)*F114^3/C_adm,E114*HP_kW*Load),IF(M114&lt;&gt;"",M114^(2/3)*F114^3/C_adm,IF(E114&lt;&gt;"",E114*HP_kW*Load,""))))</f>
        <v/>
      </c>
      <c r="O114" s="2">
        <f>IF(N114="","",N114*BSFC/Rho_fuel)</f>
        <v/>
      </c>
      <c r="P114" s="2">
        <f>IF(OR(O114="",F114=""),"",O114/F114)</f>
        <v/>
      </c>
      <c r="Q114" s="2">
        <f>IF(OR(P114="",D114=""),"",P114/D114)</f>
        <v/>
      </c>
      <c r="R114" s="2">
        <f>IF(K114&lt;&gt;"",K114,RepRoutePerDay)</f>
        <v/>
      </c>
      <c r="S114" s="2">
        <f>IF(Q114="","",ROUND(Q114*R114,1))</f>
        <v/>
      </c>
      <c r="T114" s="2">
        <f>IF(E114="",PenEngine,1)*IF(G114="",PenMissing,1)*IF(F114="",PenMissing,1)*IF(D114="",PenMissing,1)</f>
        <v/>
      </c>
      <c r="U114" s="2">
        <f>IFERROR(IF(S114="","",100*(MAX($S$2:$S$127)-S114)/(MAX($S$2:$S$127)-MIN($S$2:$S$127))),"")</f>
        <v/>
      </c>
      <c r="V114" s="2">
        <f>IF(U114="","",ROUND(U114*T114,1))</f>
        <v/>
      </c>
      <c r="W114" t="inlineStr">
        <is>
          <t>missing_beam_m, missing_price_per_day</t>
        </is>
      </c>
    </row>
    <row r="115">
      <c r="A115" s="2">
        <f>IF(V115="","",RANK(V115,$V$2:$V$127))</f>
        <v/>
      </c>
      <c r="B115" t="inlineStr">
        <is>
          <t>QUEEN OF GALAPAGOS</t>
        </is>
      </c>
      <c r="C115" t="inlineStr">
        <is>
          <t>Monohull</t>
        </is>
      </c>
      <c r="D115" s="3" t="n">
        <v>16</v>
      </c>
      <c r="E115" s="3" t="n"/>
      <c r="F115" s="3" t="n"/>
      <c r="G115" s="3" t="n"/>
      <c r="H115" s="3" t="n"/>
      <c r="I115" s="3" t="n"/>
      <c r="J115" s="3" t="n"/>
      <c r="K115" s="3" t="n"/>
      <c r="L115" s="2">
        <f>IF(I115&lt;&gt;"",I115,IF(G115&lt;&gt;"",MAX(DraftMin,DraftK*G115),""))</f>
        <v/>
      </c>
      <c r="M115" s="2">
        <f>IF(J115&lt;&gt;"",J115*GT_disp,IF(AND(G115&lt;&gt;"",H115&lt;&gt;"",L115&lt;&gt;""),G115*H115*L115*Cb*Rho_sw,""))</f>
        <v/>
      </c>
      <c r="N115" s="2">
        <f>IF(F115="","",IF(AND(M115&lt;&gt;"",E115&lt;&gt;""),MIN(M115^(2/3)*F115^3/C_adm,E115*HP_kW*Load),IF(M115&lt;&gt;"",M115^(2/3)*F115^3/C_adm,IF(E115&lt;&gt;"",E115*HP_kW*Load,""))))</f>
        <v/>
      </c>
      <c r="O115" s="2">
        <f>IF(N115="","",N115*BSFC/Rho_fuel)</f>
        <v/>
      </c>
      <c r="P115" s="2">
        <f>IF(OR(O115="",F115=""),"",O115/F115)</f>
        <v/>
      </c>
      <c r="Q115" s="2">
        <f>IF(OR(P115="",D115=""),"",P115/D115)</f>
        <v/>
      </c>
      <c r="R115" s="2">
        <f>IF(K115&lt;&gt;"",K115,RepRoutePerDay)</f>
        <v/>
      </c>
      <c r="S115" s="2">
        <f>IF(Q115="","",ROUND(Q115*R115,1))</f>
        <v/>
      </c>
      <c r="T115" s="2">
        <f>IF(E115="",PenEngine,1)*IF(G115="",PenMissing,1)*IF(F115="",PenMissing,1)*IF(D115="",PenMissing,1)</f>
        <v/>
      </c>
      <c r="U115" s="2">
        <f>IFERROR(IF(S115="","",100*(MAX($S$2:$S$127)-S115)/(MAX($S$2:$S$127)-MIN($S$2:$S$127))),"")</f>
        <v/>
      </c>
      <c r="V115" s="2">
        <f>IF(U115="","",ROUND(U115*T115,1))</f>
        <v/>
      </c>
      <c r="W115" t="inlineStr">
        <is>
          <t>no_engine_data, missing_length_m, missing_beam_m, missing_speed_kn, missing_crew_count, missing_price_per_day</t>
        </is>
      </c>
    </row>
    <row r="116">
      <c r="A116" s="2">
        <f>IF(V116="","",RANK(V116,$V$2:$V$127))</f>
        <v/>
      </c>
      <c r="B116" t="inlineStr">
        <is>
          <t>REINA SILVIA</t>
        </is>
      </c>
      <c r="C116" t="inlineStr">
        <is>
          <t>Monohull</t>
        </is>
      </c>
      <c r="D116" s="3" t="n">
        <v>12</v>
      </c>
      <c r="E116" s="3" t="n"/>
      <c r="F116" s="3" t="n"/>
      <c r="G116" s="3" t="n"/>
      <c r="H116" s="3" t="n"/>
      <c r="I116" s="3" t="n"/>
      <c r="J116" s="3" t="n"/>
      <c r="K116" s="3" t="n">
        <v>35.6</v>
      </c>
      <c r="L116" s="2">
        <f>IF(I116&lt;&gt;"",I116,IF(G116&lt;&gt;"",MAX(DraftMin,DraftK*G116),""))</f>
        <v/>
      </c>
      <c r="M116" s="2">
        <f>IF(J116&lt;&gt;"",J116*GT_disp,IF(AND(G116&lt;&gt;"",H116&lt;&gt;"",L116&lt;&gt;""),G116*H116*L116*Cb*Rho_sw,""))</f>
        <v/>
      </c>
      <c r="N116" s="2">
        <f>IF(F116="","",IF(AND(M116&lt;&gt;"",E116&lt;&gt;""),MIN(M116^(2/3)*F116^3/C_adm,E116*HP_kW*Load),IF(M116&lt;&gt;"",M116^(2/3)*F116^3/C_adm,IF(E116&lt;&gt;"",E116*HP_kW*Load,""))))</f>
        <v/>
      </c>
      <c r="O116" s="2">
        <f>IF(N116="","",N116*BSFC/Rho_fuel)</f>
        <v/>
      </c>
      <c r="P116" s="2">
        <f>IF(OR(O116="",F116=""),"",O116/F116)</f>
        <v/>
      </c>
      <c r="Q116" s="2">
        <f>IF(OR(P116="",D116=""),"",P116/D116)</f>
        <v/>
      </c>
      <c r="R116" s="2">
        <f>IF(K116&lt;&gt;"",K116,RepRoutePerDay)</f>
        <v/>
      </c>
      <c r="S116" s="2">
        <f>IF(Q116="","",ROUND(Q116*R116,1))</f>
        <v/>
      </c>
      <c r="T116" s="2">
        <f>IF(E116="",PenEngine,1)*IF(G116="",PenMissing,1)*IF(F116="",PenMissing,1)*IF(D116="",PenMissing,1)</f>
        <v/>
      </c>
      <c r="U116" s="2">
        <f>IFERROR(IF(S116="","",100*(MAX($S$2:$S$127)-S116)/(MAX($S$2:$S$127)-MIN($S$2:$S$127))),"")</f>
        <v/>
      </c>
      <c r="V116" s="2">
        <f>IF(U116="","",ROUND(U116*T116,1))</f>
        <v/>
      </c>
      <c r="W116" t="inlineStr">
        <is>
          <t>no_engine_data, missing_length_m, missing_beam_m, missing_speed_kn, missing_crew_count, missing_price_per_day</t>
        </is>
      </c>
    </row>
    <row r="117">
      <c r="A117" s="2">
        <f>IF(V117="","",RANK(V117,$V$2:$V$127))</f>
        <v/>
      </c>
      <c r="B117" t="inlineStr">
        <is>
          <t>Reina Silvia Voyager</t>
        </is>
      </c>
      <c r="C117" t="inlineStr">
        <is>
          <t>Catamaran</t>
        </is>
      </c>
      <c r="D117" s="3" t="n">
        <v>16</v>
      </c>
      <c r="E117" s="3" t="n"/>
      <c r="F117" s="3" t="n">
        <v>13</v>
      </c>
      <c r="G117" s="3" t="n"/>
      <c r="H117" s="3" t="n"/>
      <c r="I117" s="3" t="n"/>
      <c r="J117" s="3" t="n"/>
      <c r="K117" s="3" t="n"/>
      <c r="L117" s="2">
        <f>IF(I117&lt;&gt;"",I117,IF(G117&lt;&gt;"",MAX(DraftMin,DraftK*G117),""))</f>
        <v/>
      </c>
      <c r="M117" s="2">
        <f>IF(J117&lt;&gt;"",J117*GT_disp,IF(AND(G117&lt;&gt;"",H117&lt;&gt;"",L117&lt;&gt;""),G117*H117*L117*Cb*Rho_sw,""))</f>
        <v/>
      </c>
      <c r="N117" s="2">
        <f>IF(F117="","",IF(AND(M117&lt;&gt;"",E117&lt;&gt;""),MIN(M117^(2/3)*F117^3/C_adm,E117*HP_kW*Load),IF(M117&lt;&gt;"",M117^(2/3)*F117^3/C_adm,IF(E117&lt;&gt;"",E117*HP_kW*Load,""))))</f>
        <v/>
      </c>
      <c r="O117" s="2">
        <f>IF(N117="","",N117*BSFC/Rho_fuel)</f>
        <v/>
      </c>
      <c r="P117" s="2">
        <f>IF(OR(O117="",F117=""),"",O117/F117)</f>
        <v/>
      </c>
      <c r="Q117" s="2">
        <f>IF(OR(P117="",D117=""),"",P117/D117)</f>
        <v/>
      </c>
      <c r="R117" s="2">
        <f>IF(K117&lt;&gt;"",K117,RepRoutePerDay)</f>
        <v/>
      </c>
      <c r="S117" s="2">
        <f>IF(Q117="","",ROUND(Q117*R117,1))</f>
        <v/>
      </c>
      <c r="T117" s="2">
        <f>IF(E117="",PenEngine,1)*IF(G117="",PenMissing,1)*IF(F117="",PenMissing,1)*IF(D117="",PenMissing,1)</f>
        <v/>
      </c>
      <c r="U117" s="2">
        <f>IFERROR(IF(S117="","",100*(MAX($S$2:$S$127)-S117)/(MAX($S$2:$S$127)-MIN($S$2:$S$127))),"")</f>
        <v/>
      </c>
      <c r="V117" s="2">
        <f>IF(U117="","",ROUND(U117*T117,1))</f>
        <v/>
      </c>
      <c r="W117" t="inlineStr">
        <is>
          <t>length_ft_m_mismatch, no_engine_data, missing_length_m, missing_beam_m, missing_price_per_day</t>
        </is>
      </c>
    </row>
    <row r="118">
      <c r="A118" s="2">
        <f>IF(V118="","",RANK(V118,$V$2:$V$127))</f>
        <v/>
      </c>
      <c r="B118" t="inlineStr">
        <is>
          <t>SEA MAN JOURNEY</t>
        </is>
      </c>
      <c r="C118" t="inlineStr">
        <is>
          <t>Catamaran</t>
        </is>
      </c>
      <c r="D118" s="3" t="n">
        <v>16</v>
      </c>
      <c r="E118" s="3" t="n"/>
      <c r="F118" s="3" t="n"/>
      <c r="G118" s="3" t="n"/>
      <c r="H118" s="3" t="n"/>
      <c r="I118" s="3" t="n"/>
      <c r="J118" s="3" t="n"/>
      <c r="K118" s="3" t="n">
        <v>34.1</v>
      </c>
      <c r="L118" s="2">
        <f>IF(I118&lt;&gt;"",I118,IF(G118&lt;&gt;"",MAX(DraftMin,DraftK*G118),""))</f>
        <v/>
      </c>
      <c r="M118" s="2">
        <f>IF(J118&lt;&gt;"",J118*GT_disp,IF(AND(G118&lt;&gt;"",H118&lt;&gt;"",L118&lt;&gt;""),G118*H118*L118*Cb*Rho_sw,""))</f>
        <v/>
      </c>
      <c r="N118" s="2">
        <f>IF(F118="","",IF(AND(M118&lt;&gt;"",E118&lt;&gt;""),MIN(M118^(2/3)*F118^3/C_adm,E118*HP_kW*Load),IF(M118&lt;&gt;"",M118^(2/3)*F118^3/C_adm,IF(E118&lt;&gt;"",E118*HP_kW*Load,""))))</f>
        <v/>
      </c>
      <c r="O118" s="2">
        <f>IF(N118="","",N118*BSFC/Rho_fuel)</f>
        <v/>
      </c>
      <c r="P118" s="2">
        <f>IF(OR(O118="",F118=""),"",O118/F118)</f>
        <v/>
      </c>
      <c r="Q118" s="2">
        <f>IF(OR(P118="",D118=""),"",P118/D118)</f>
        <v/>
      </c>
      <c r="R118" s="2">
        <f>IF(K118&lt;&gt;"",K118,RepRoutePerDay)</f>
        <v/>
      </c>
      <c r="S118" s="2">
        <f>IF(Q118="","",ROUND(Q118*R118,1))</f>
        <v/>
      </c>
      <c r="T118" s="2">
        <f>IF(E118="",PenEngine,1)*IF(G118="",PenMissing,1)*IF(F118="",PenMissing,1)*IF(D118="",PenMissing,1)</f>
        <v/>
      </c>
      <c r="U118" s="2">
        <f>IFERROR(IF(S118="","",100*(MAX($S$2:$S$127)-S118)/(MAX($S$2:$S$127)-MIN($S$2:$S$127))),"")</f>
        <v/>
      </c>
      <c r="V118" s="2">
        <f>IF(U118="","",ROUND(U118*T118,1))</f>
        <v/>
      </c>
      <c r="W118" t="inlineStr">
        <is>
          <t>no_engine_data, missing_length_m, missing_beam_m, missing_speed_kn, missing_crew_count, missing_price_per_day</t>
        </is>
      </c>
    </row>
    <row r="119">
      <c r="A119" s="2">
        <f>IF(V119="","",RANK(V119,$V$2:$V$127))</f>
        <v/>
      </c>
      <c r="B119" t="inlineStr">
        <is>
          <t>Galapagos Cruise Ships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2">
        <f>IF(I119&lt;&gt;"",I119,IF(G119&lt;&gt;"",MAX(DraftMin,DraftK*G119),""))</f>
        <v/>
      </c>
      <c r="M119" s="2">
        <f>IF(J119&lt;&gt;"",J119*GT_disp,IF(AND(G119&lt;&gt;"",H119&lt;&gt;"",L119&lt;&gt;""),G119*H119*L119*Cb*Rho_sw,""))</f>
        <v/>
      </c>
      <c r="N119" s="2">
        <f>IF(F119="","",IF(AND(M119&lt;&gt;"",E119&lt;&gt;""),MIN(M119^(2/3)*F119^3/C_adm,E119*HP_kW*Load),IF(M119&lt;&gt;"",M119^(2/3)*F119^3/C_adm,IF(E119&lt;&gt;"",E119*HP_kW*Load,""))))</f>
        <v/>
      </c>
      <c r="O119" s="2">
        <f>IF(N119="","",N119*BSFC/Rho_fuel)</f>
        <v/>
      </c>
      <c r="P119" s="2">
        <f>IF(OR(O119="",F119=""),"",O119/F119)</f>
        <v/>
      </c>
      <c r="Q119" s="2">
        <f>IF(OR(P119="",D119=""),"",P119/D119)</f>
        <v/>
      </c>
      <c r="R119" s="2">
        <f>IF(K119&lt;&gt;"",K119,RepRoutePerDay)</f>
        <v/>
      </c>
      <c r="S119" s="2">
        <f>IF(Q119="","",ROUND(Q119*R119,1))</f>
        <v/>
      </c>
      <c r="T119" s="2">
        <f>IF(E119="",PenEngine,1)*IF(G119="",PenMissing,1)*IF(F119="",PenMissing,1)*IF(D119="",PenMissing,1)</f>
        <v/>
      </c>
      <c r="U119" s="2">
        <f>IFERROR(IF(S119="","",100*(MAX($S$2:$S$127)-S119)/(MAX($S$2:$S$127)-MIN($S$2:$S$127))),"")</f>
        <v/>
      </c>
      <c r="V119" s="2">
        <f>IF(U119="","",ROUND(U119*T119,1))</f>
        <v/>
      </c>
      <c r="W119" t="inlineStr">
        <is>
          <t>no_engine_data, missing_length_m, missing_beam_m, missing_speed_kn, missing_crew_count, missing_price_per_day</t>
        </is>
      </c>
    </row>
    <row r="120">
      <c r="A120" s="2">
        <f>IF(V120="","",RANK(V120,$V$2:$V$127))</f>
        <v/>
      </c>
      <c r="B120" t="inlineStr">
        <is>
          <t>Stella Maris Galápagos Charter</t>
        </is>
      </c>
      <c r="C120" t="inlineStr">
        <is>
          <t>Small Yacht</t>
        </is>
      </c>
      <c r="D120" s="3" t="n">
        <v>14</v>
      </c>
      <c r="E120" s="3" t="n"/>
      <c r="F120" s="3" t="n">
        <v>13</v>
      </c>
      <c r="G120" s="3" t="n">
        <v>40</v>
      </c>
      <c r="H120" s="3" t="n"/>
      <c r="I120" s="3" t="n"/>
      <c r="J120" s="3" t="n"/>
      <c r="K120" s="3" t="n"/>
      <c r="L120" s="2">
        <f>IF(I120&lt;&gt;"",I120,IF(G120&lt;&gt;"",MAX(DraftMin,DraftK*G120),""))</f>
        <v/>
      </c>
      <c r="M120" s="2">
        <f>IF(J120&lt;&gt;"",J120*GT_disp,IF(AND(G120&lt;&gt;"",H120&lt;&gt;"",L120&lt;&gt;""),G120*H120*L120*Cb*Rho_sw,""))</f>
        <v/>
      </c>
      <c r="N120" s="2">
        <f>IF(F120="","",IF(AND(M120&lt;&gt;"",E120&lt;&gt;""),MIN(M120^(2/3)*F120^3/C_adm,E120*HP_kW*Load),IF(M120&lt;&gt;"",M120^(2/3)*F120^3/C_adm,IF(E120&lt;&gt;"",E120*HP_kW*Load,""))))</f>
        <v/>
      </c>
      <c r="O120" s="2">
        <f>IF(N120="","",N120*BSFC/Rho_fuel)</f>
        <v/>
      </c>
      <c r="P120" s="2">
        <f>IF(OR(O120="",F120=""),"",O120/F120)</f>
        <v/>
      </c>
      <c r="Q120" s="2">
        <f>IF(OR(P120="",D120=""),"",P120/D120)</f>
        <v/>
      </c>
      <c r="R120" s="2">
        <f>IF(K120&lt;&gt;"",K120,RepRoutePerDay)</f>
        <v/>
      </c>
      <c r="S120" s="2">
        <f>IF(Q120="","",ROUND(Q120*R120,1))</f>
        <v/>
      </c>
      <c r="T120" s="2">
        <f>IF(E120="",PenEngine,1)*IF(G120="",PenMissing,1)*IF(F120="",PenMissing,1)*IF(D120="",PenMissing,1)</f>
        <v/>
      </c>
      <c r="U120" s="2">
        <f>IFERROR(IF(S120="","",100*(MAX($S$2:$S$127)-S120)/(MAX($S$2:$S$127)-MIN($S$2:$S$127))),"")</f>
        <v/>
      </c>
      <c r="V120" s="2">
        <f>IF(U120="","",ROUND(U120*T120,1))</f>
        <v/>
      </c>
      <c r="W120" t="inlineStr">
        <is>
          <t>no_engine_data, missing_beam_m, missing_crew_count, missing_price_per_day</t>
        </is>
      </c>
    </row>
    <row r="121">
      <c r="A121" s="2">
        <f>IF(V121="","",RANK(V121,$V$2:$V$127))</f>
        <v/>
      </c>
      <c r="B121" t="inlineStr">
        <is>
          <t>Test ship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2">
        <f>IF(I121&lt;&gt;"",I121,IF(G121&lt;&gt;"",MAX(DraftMin,DraftK*G121),""))</f>
        <v/>
      </c>
      <c r="M121" s="2">
        <f>IF(J121&lt;&gt;"",J121*GT_disp,IF(AND(G121&lt;&gt;"",H121&lt;&gt;"",L121&lt;&gt;""),G121*H121*L121*Cb*Rho_sw,""))</f>
        <v/>
      </c>
      <c r="N121" s="2">
        <f>IF(F121="","",IF(AND(M121&lt;&gt;"",E121&lt;&gt;""),MIN(M121^(2/3)*F121^3/C_adm,E121*HP_kW*Load),IF(M121&lt;&gt;"",M121^(2/3)*F121^3/C_adm,IF(E121&lt;&gt;"",E121*HP_kW*Load,""))))</f>
        <v/>
      </c>
      <c r="O121" s="2">
        <f>IF(N121="","",N121*BSFC/Rho_fuel)</f>
        <v/>
      </c>
      <c r="P121" s="2">
        <f>IF(OR(O121="",F121=""),"",O121/F121)</f>
        <v/>
      </c>
      <c r="Q121" s="2">
        <f>IF(OR(P121="",D121=""),"",P121/D121)</f>
        <v/>
      </c>
      <c r="R121" s="2">
        <f>IF(K121&lt;&gt;"",K121,RepRoutePerDay)</f>
        <v/>
      </c>
      <c r="S121" s="2">
        <f>IF(Q121="","",ROUND(Q121*R121,1))</f>
        <v/>
      </c>
      <c r="T121" s="2">
        <f>IF(E121="",PenEngine,1)*IF(G121="",PenMissing,1)*IF(F121="",PenMissing,1)*IF(D121="",PenMissing,1)</f>
        <v/>
      </c>
      <c r="U121" s="2">
        <f>IFERROR(IF(S121="","",100*(MAX($S$2:$S$127)-S121)/(MAX($S$2:$S$127)-MIN($S$2:$S$127))),"")</f>
        <v/>
      </c>
      <c r="V121" s="2">
        <f>IF(U121="","",ROUND(U121*T121,1))</f>
        <v/>
      </c>
      <c r="W121" t="inlineStr">
        <is>
          <t>no_engine_data, missing_length_m, missing_beam_m, missing_speed_kn, missing_crew_count, missing_price_per_day</t>
        </is>
      </c>
    </row>
    <row r="122">
      <c r="A122" s="2">
        <f>IF(V122="","",RANK(V122,$V$2:$V$127))</f>
        <v/>
      </c>
      <c r="B122" t="inlineStr">
        <is>
          <t>Treasure</t>
        </is>
      </c>
      <c r="C122" t="inlineStr">
        <is>
          <t>Motor Catamaran</t>
        </is>
      </c>
      <c r="D122" s="3" t="n">
        <v>16</v>
      </c>
      <c r="E122" s="3" t="n"/>
      <c r="F122" s="3" t="n"/>
      <c r="G122" s="3" t="n">
        <v>31</v>
      </c>
      <c r="H122" s="3" t="n"/>
      <c r="I122" s="3" t="n"/>
      <c r="J122" s="3" t="n"/>
      <c r="K122" s="3" t="n"/>
      <c r="L122" s="2">
        <f>IF(I122&lt;&gt;"",I122,IF(G122&lt;&gt;"",MAX(DraftMin,DraftK*G122),""))</f>
        <v/>
      </c>
      <c r="M122" s="2">
        <f>IF(J122&lt;&gt;"",J122*GT_disp,IF(AND(G122&lt;&gt;"",H122&lt;&gt;"",L122&lt;&gt;""),G122*H122*L122*Cb*Rho_sw,""))</f>
        <v/>
      </c>
      <c r="N122" s="2">
        <f>IF(F122="","",IF(AND(M122&lt;&gt;"",E122&lt;&gt;""),MIN(M122^(2/3)*F122^3/C_adm,E122*HP_kW*Load),IF(M122&lt;&gt;"",M122^(2/3)*F122^3/C_adm,IF(E122&lt;&gt;"",E122*HP_kW*Load,""))))</f>
        <v/>
      </c>
      <c r="O122" s="2">
        <f>IF(N122="","",N122*BSFC/Rho_fuel)</f>
        <v/>
      </c>
      <c r="P122" s="2">
        <f>IF(OR(O122="",F122=""),"",O122/F122)</f>
        <v/>
      </c>
      <c r="Q122" s="2">
        <f>IF(OR(P122="",D122=""),"",P122/D122)</f>
        <v/>
      </c>
      <c r="R122" s="2">
        <f>IF(K122&lt;&gt;"",K122,RepRoutePerDay)</f>
        <v/>
      </c>
      <c r="S122" s="2">
        <f>IF(Q122="","",ROUND(Q122*R122,1))</f>
        <v/>
      </c>
      <c r="T122" s="2">
        <f>IF(E122="",PenEngine,1)*IF(G122="",PenMissing,1)*IF(F122="",PenMissing,1)*IF(D122="",PenMissing,1)</f>
        <v/>
      </c>
      <c r="U122" s="2">
        <f>IFERROR(IF(S122="","",100*(MAX($S$2:$S$127)-S122)/(MAX($S$2:$S$127)-MIN($S$2:$S$127))),"")</f>
        <v/>
      </c>
      <c r="V122" s="2">
        <f>IF(U122="","",ROUND(U122*T122,1))</f>
        <v/>
      </c>
      <c r="W122" t="inlineStr">
        <is>
          <t>no_engine_data, missing_beam_m, missing_speed_kn, missing_crew_count, missing_price_per_day</t>
        </is>
      </c>
    </row>
    <row r="123">
      <c r="A123" s="2">
        <f>IF(V123="","",RANK(V123,$V$2:$V$127))</f>
        <v/>
      </c>
      <c r="B123" t="inlineStr">
        <is>
          <t>Xavier III</t>
        </is>
      </c>
      <c r="C123" t="inlineStr">
        <is>
          <t>Small Yacht</t>
        </is>
      </c>
      <c r="D123" s="3" t="n">
        <v>16</v>
      </c>
      <c r="E123" s="3" t="n"/>
      <c r="F123" s="3" t="n">
        <v>12</v>
      </c>
      <c r="G123" s="3" t="n"/>
      <c r="H123" s="3" t="n"/>
      <c r="I123" s="3" t="n"/>
      <c r="J123" s="3" t="n"/>
      <c r="K123" s="3" t="n"/>
      <c r="L123" s="2">
        <f>IF(I123&lt;&gt;"",I123,IF(G123&lt;&gt;"",MAX(DraftMin,DraftK*G123),""))</f>
        <v/>
      </c>
      <c r="M123" s="2">
        <f>IF(J123&lt;&gt;"",J123*GT_disp,IF(AND(G123&lt;&gt;"",H123&lt;&gt;"",L123&lt;&gt;""),G123*H123*L123*Cb*Rho_sw,""))</f>
        <v/>
      </c>
      <c r="N123" s="2">
        <f>IF(F123="","",IF(AND(M123&lt;&gt;"",E123&lt;&gt;""),MIN(M123^(2/3)*F123^3/C_adm,E123*HP_kW*Load),IF(M123&lt;&gt;"",M123^(2/3)*F123^3/C_adm,IF(E123&lt;&gt;"",E123*HP_kW*Load,""))))</f>
        <v/>
      </c>
      <c r="O123" s="2">
        <f>IF(N123="","",N123*BSFC/Rho_fuel)</f>
        <v/>
      </c>
      <c r="P123" s="2">
        <f>IF(OR(O123="",F123=""),"",O123/F123)</f>
        <v/>
      </c>
      <c r="Q123" s="2">
        <f>IF(OR(P123="",D123=""),"",P123/D123)</f>
        <v/>
      </c>
      <c r="R123" s="2">
        <f>IF(K123&lt;&gt;"",K123,RepRoutePerDay)</f>
        <v/>
      </c>
      <c r="S123" s="2">
        <f>IF(Q123="","",ROUND(Q123*R123,1))</f>
        <v/>
      </c>
      <c r="T123" s="2">
        <f>IF(E123="",PenEngine,1)*IF(G123="",PenMissing,1)*IF(F123="",PenMissing,1)*IF(D123="",PenMissing,1)</f>
        <v/>
      </c>
      <c r="U123" s="2">
        <f>IFERROR(IF(S123="","",100*(MAX($S$2:$S$127)-S123)/(MAX($S$2:$S$127)-MIN($S$2:$S$127))),"")</f>
        <v/>
      </c>
      <c r="V123" s="2">
        <f>IF(U123="","",ROUND(U123*T123,1))</f>
        <v/>
      </c>
      <c r="W123" t="inlineStr">
        <is>
          <t>no_engine_data, missing_length_m, missing_beam_m, missing_crew_count, missing_price_per_day</t>
        </is>
      </c>
    </row>
    <row r="124">
      <c r="A124" s="2">
        <f>IF(V124="","",RANK(V124,$V$2:$V$127))</f>
        <v/>
      </c>
      <c r="B124" t="inlineStr">
        <is>
          <t>XPERIENCE</t>
        </is>
      </c>
      <c r="C124" t="inlineStr">
        <is>
          <t>Monohull</t>
        </is>
      </c>
      <c r="D124" s="3" t="n">
        <v>48</v>
      </c>
      <c r="E124" s="3" t="n"/>
      <c r="F124" s="3" t="n"/>
      <c r="G124" s="3" t="n"/>
      <c r="H124" s="3" t="n"/>
      <c r="I124" s="3" t="n"/>
      <c r="J124" s="3" t="n"/>
      <c r="K124" s="3" t="n">
        <v>43.5</v>
      </c>
      <c r="L124" s="2">
        <f>IF(I124&lt;&gt;"",I124,IF(G124&lt;&gt;"",MAX(DraftMin,DraftK*G124),""))</f>
        <v/>
      </c>
      <c r="M124" s="2">
        <f>IF(J124&lt;&gt;"",J124*GT_disp,IF(AND(G124&lt;&gt;"",H124&lt;&gt;"",L124&lt;&gt;""),G124*H124*L124*Cb*Rho_sw,""))</f>
        <v/>
      </c>
      <c r="N124" s="2">
        <f>IF(F124="","",IF(AND(M124&lt;&gt;"",E124&lt;&gt;""),MIN(M124^(2/3)*F124^3/C_adm,E124*HP_kW*Load),IF(M124&lt;&gt;"",M124^(2/3)*F124^3/C_adm,IF(E124&lt;&gt;"",E124*HP_kW*Load,""))))</f>
        <v/>
      </c>
      <c r="O124" s="2">
        <f>IF(N124="","",N124*BSFC/Rho_fuel)</f>
        <v/>
      </c>
      <c r="P124" s="2">
        <f>IF(OR(O124="",F124=""),"",O124/F124)</f>
        <v/>
      </c>
      <c r="Q124" s="2">
        <f>IF(OR(P124="",D124=""),"",P124/D124)</f>
        <v/>
      </c>
      <c r="R124" s="2">
        <f>IF(K124&lt;&gt;"",K124,RepRoutePerDay)</f>
        <v/>
      </c>
      <c r="S124" s="2">
        <f>IF(Q124="","",ROUND(Q124*R124,1))</f>
        <v/>
      </c>
      <c r="T124" s="2">
        <f>IF(E124="",PenEngine,1)*IF(G124="",PenMissing,1)*IF(F124="",PenMissing,1)*IF(D124="",PenMissing,1)</f>
        <v/>
      </c>
      <c r="U124" s="2">
        <f>IFERROR(IF(S124="","",100*(MAX($S$2:$S$127)-S124)/(MAX($S$2:$S$127)-MIN($S$2:$S$127))),"")</f>
        <v/>
      </c>
      <c r="V124" s="2">
        <f>IF(U124="","",ROUND(U124*T124,1))</f>
        <v/>
      </c>
      <c r="W124" t="inlineStr">
        <is>
          <t>no_engine_data, missing_length_m, missing_beam_m, missing_speed_kn, missing_crew_count, missing_price_per_day</t>
        </is>
      </c>
    </row>
    <row r="125">
      <c r="A125" s="2">
        <f>IF(V125="","",RANK(V125,$V$2:$V$127))</f>
        <v/>
      </c>
      <c r="B125" t="inlineStr">
        <is>
          <t>XPLORATION</t>
        </is>
      </c>
      <c r="C125" t="inlineStr">
        <is>
          <t>Catamaran</t>
        </is>
      </c>
      <c r="D125" s="3" t="n">
        <v>16</v>
      </c>
      <c r="E125" s="3" t="n"/>
      <c r="F125" s="3" t="n"/>
      <c r="G125" s="3" t="n"/>
      <c r="H125" s="3" t="n"/>
      <c r="I125" s="3" t="n"/>
      <c r="J125" s="3" t="n"/>
      <c r="K125" s="3" t="n">
        <v>43.5</v>
      </c>
      <c r="L125" s="2">
        <f>IF(I125&lt;&gt;"",I125,IF(G125&lt;&gt;"",MAX(DraftMin,DraftK*G125),""))</f>
        <v/>
      </c>
      <c r="M125" s="2">
        <f>IF(J125&lt;&gt;"",J125*GT_disp,IF(AND(G125&lt;&gt;"",H125&lt;&gt;"",L125&lt;&gt;""),G125*H125*L125*Cb*Rho_sw,""))</f>
        <v/>
      </c>
      <c r="N125" s="2">
        <f>IF(F125="","",IF(AND(M125&lt;&gt;"",E125&lt;&gt;""),MIN(M125^(2/3)*F125^3/C_adm,E125*HP_kW*Load),IF(M125&lt;&gt;"",M125^(2/3)*F125^3/C_adm,IF(E125&lt;&gt;"",E125*HP_kW*Load,""))))</f>
        <v/>
      </c>
      <c r="O125" s="2">
        <f>IF(N125="","",N125*BSFC/Rho_fuel)</f>
        <v/>
      </c>
      <c r="P125" s="2">
        <f>IF(OR(O125="",F125=""),"",O125/F125)</f>
        <v/>
      </c>
      <c r="Q125" s="2">
        <f>IF(OR(P125="",D125=""),"",P125/D125)</f>
        <v/>
      </c>
      <c r="R125" s="2">
        <f>IF(K125&lt;&gt;"",K125,RepRoutePerDay)</f>
        <v/>
      </c>
      <c r="S125" s="2">
        <f>IF(Q125="","",ROUND(Q125*R125,1))</f>
        <v/>
      </c>
      <c r="T125" s="2">
        <f>IF(E125="",PenEngine,1)*IF(G125="",PenMissing,1)*IF(F125="",PenMissing,1)*IF(D125="",PenMissing,1)</f>
        <v/>
      </c>
      <c r="U125" s="2">
        <f>IFERROR(IF(S125="","",100*(MAX($S$2:$S$127)-S125)/(MAX($S$2:$S$127)-MIN($S$2:$S$127))),"")</f>
        <v/>
      </c>
      <c r="V125" s="2">
        <f>IF(U125="","",ROUND(U125*T125,1))</f>
        <v/>
      </c>
      <c r="W125" t="inlineStr">
        <is>
          <t>no_engine_data, missing_length_m, missing_beam_m, missing_speed_kn, missing_crew_count, missing_price_per_day</t>
        </is>
      </c>
    </row>
    <row r="126">
      <c r="A126" s="2">
        <f>IF(V126="","",RANK(V126,$V$2:$V$127))</f>
        <v/>
      </c>
      <c r="B126" t="inlineStr">
        <is>
          <t>Yolita</t>
        </is>
      </c>
      <c r="C126" t="inlineStr">
        <is>
          <t>Yacht</t>
        </is>
      </c>
      <c r="D126" s="3" t="n">
        <v>16</v>
      </c>
      <c r="E126" s="3" t="n"/>
      <c r="F126" s="3" t="n">
        <v>8</v>
      </c>
      <c r="G126" s="3" t="n"/>
      <c r="H126" s="3" t="n">
        <v>8</v>
      </c>
      <c r="I126" s="3" t="n"/>
      <c r="J126" s="3" t="n"/>
      <c r="K126" s="3" t="n"/>
      <c r="L126" s="2">
        <f>IF(I126&lt;&gt;"",I126,IF(G126&lt;&gt;"",MAX(DraftMin,DraftK*G126),""))</f>
        <v/>
      </c>
      <c r="M126" s="2">
        <f>IF(J126&lt;&gt;"",J126*GT_disp,IF(AND(G126&lt;&gt;"",H126&lt;&gt;"",L126&lt;&gt;""),G126*H126*L126*Cb*Rho_sw,""))</f>
        <v/>
      </c>
      <c r="N126" s="2">
        <f>IF(F126="","",IF(AND(M126&lt;&gt;"",E126&lt;&gt;""),MIN(M126^(2/3)*F126^3/C_adm,E126*HP_kW*Load),IF(M126&lt;&gt;"",M126^(2/3)*F126^3/C_adm,IF(E126&lt;&gt;"",E126*HP_kW*Load,""))))</f>
        <v/>
      </c>
      <c r="O126" s="2">
        <f>IF(N126="","",N126*BSFC/Rho_fuel)</f>
        <v/>
      </c>
      <c r="P126" s="2">
        <f>IF(OR(O126="",F126=""),"",O126/F126)</f>
        <v/>
      </c>
      <c r="Q126" s="2">
        <f>IF(OR(P126="",D126=""),"",P126/D126)</f>
        <v/>
      </c>
      <c r="R126" s="2">
        <f>IF(K126&lt;&gt;"",K126,RepRoutePerDay)</f>
        <v/>
      </c>
      <c r="S126" s="2">
        <f>IF(Q126="","",ROUND(Q126*R126,1))</f>
        <v/>
      </c>
      <c r="T126" s="2">
        <f>IF(E126="",PenEngine,1)*IF(G126="",PenMissing,1)*IF(F126="",PenMissing,1)*IF(D126="",PenMissing,1)</f>
        <v/>
      </c>
      <c r="U126" s="2">
        <f>IFERROR(IF(S126="","",100*(MAX($S$2:$S$127)-S126)/(MAX($S$2:$S$127)-MIN($S$2:$S$127))),"")</f>
        <v/>
      </c>
      <c r="V126" s="2">
        <f>IF(U126="","",ROUND(U126*T126,1))</f>
        <v/>
      </c>
      <c r="W126" t="inlineStr">
        <is>
          <t>length_ft_m_mismatch, missing_length_m</t>
        </is>
      </c>
    </row>
    <row r="127">
      <c r="A127" s="2">
        <f>IF(V127="","",RANK(V127,$V$2:$V$127))</f>
        <v/>
      </c>
      <c r="B127" t="inlineStr">
        <is>
          <t>Yolita II</t>
        </is>
      </c>
      <c r="C127" t="inlineStr">
        <is>
          <t>Small Yacht</t>
        </is>
      </c>
      <c r="D127" s="3" t="n">
        <v>16</v>
      </c>
      <c r="E127" s="3" t="n"/>
      <c r="F127" s="3" t="n">
        <v>9</v>
      </c>
      <c r="G127" s="3" t="n">
        <v>33</v>
      </c>
      <c r="H127" s="3" t="n"/>
      <c r="I127" s="3" t="n"/>
      <c r="J127" s="3" t="n"/>
      <c r="K127" s="3" t="n">
        <v>35.4</v>
      </c>
      <c r="L127" s="2">
        <f>IF(I127&lt;&gt;"",I127,IF(G127&lt;&gt;"",MAX(DraftMin,DraftK*G127),""))</f>
        <v/>
      </c>
      <c r="M127" s="2">
        <f>IF(J127&lt;&gt;"",J127*GT_disp,IF(AND(G127&lt;&gt;"",H127&lt;&gt;"",L127&lt;&gt;""),G127*H127*L127*Cb*Rho_sw,""))</f>
        <v/>
      </c>
      <c r="N127" s="2">
        <f>IF(F127="","",IF(AND(M127&lt;&gt;"",E127&lt;&gt;""),MIN(M127^(2/3)*F127^3/C_adm,E127*HP_kW*Load),IF(M127&lt;&gt;"",M127^(2/3)*F127^3/C_adm,IF(E127&lt;&gt;"",E127*HP_kW*Load,""))))</f>
        <v/>
      </c>
      <c r="O127" s="2">
        <f>IF(N127="","",N127*BSFC/Rho_fuel)</f>
        <v/>
      </c>
      <c r="P127" s="2">
        <f>IF(OR(O127="",F127=""),"",O127/F127)</f>
        <v/>
      </c>
      <c r="Q127" s="2">
        <f>IF(OR(P127="",D127=""),"",P127/D127)</f>
        <v/>
      </c>
      <c r="R127" s="2">
        <f>IF(K127&lt;&gt;"",K127,RepRoutePerDay)</f>
        <v/>
      </c>
      <c r="S127" s="2">
        <f>IF(Q127="","",ROUND(Q127*R127,1))</f>
        <v/>
      </c>
      <c r="T127" s="2">
        <f>IF(E127="",PenEngine,1)*IF(G127="",PenMissing,1)*IF(F127="",PenMissing,1)*IF(D127="",PenMissing,1)</f>
        <v/>
      </c>
      <c r="U127" s="2">
        <f>IFERROR(IF(S127="","",100*(MAX($S$2:$S$127)-S127)/(MAX($S$2:$S$127)-MIN($S$2:$S$127))),"")</f>
        <v/>
      </c>
      <c r="V127" s="2">
        <f>IF(U127="","",ROUND(U127*T127,1))</f>
        <v/>
      </c>
      <c r="W127" t="inlineStr">
        <is>
          <t>no_engine_data, missing_beam_m, missing_crew_count, missing_price_per_day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78" customWidth="1" min="3" max="3"/>
  </cols>
  <sheetData>
    <row r="1">
      <c r="A1" s="1" t="inlineStr">
        <is>
          <t>Constant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Cb</t>
        </is>
      </c>
      <c r="B2" s="3" t="n">
        <v>0.45</v>
      </c>
      <c r="C2" s="4" t="inlineStr">
        <is>
          <t>Block coefficient (Δ = L·B·T·Cb·ρ)</t>
        </is>
      </c>
    </row>
    <row r="3">
      <c r="A3" t="inlineStr">
        <is>
          <t>Rho_sw</t>
        </is>
      </c>
      <c r="B3" s="3" t="n">
        <v>1.025</v>
      </c>
      <c r="C3" s="4" t="inlineStr">
        <is>
          <t>Seawater density (t/m³)</t>
        </is>
      </c>
    </row>
    <row r="4">
      <c r="A4" t="inlineStr">
        <is>
          <t>GT_disp</t>
        </is>
      </c>
      <c r="B4" s="3" t="n">
        <v>0.85</v>
      </c>
      <c r="C4" s="4" t="inlineStr">
        <is>
          <t>Displacement ≈ GT_disp × gross tonnage when tonnage is given</t>
        </is>
      </c>
    </row>
    <row r="5">
      <c r="A5" t="inlineStr">
        <is>
          <t>C_adm</t>
        </is>
      </c>
      <c r="B5" s="3" t="n">
        <v>220</v>
      </c>
      <c r="C5" s="4" t="inlineStr">
        <is>
          <t>Admiralty coefficient: cruise power = Δ^(2/3)·V³/C_adm</t>
        </is>
      </c>
    </row>
    <row r="6">
      <c r="A6" t="inlineStr">
        <is>
          <t>BSFC</t>
        </is>
      </c>
      <c r="B6" s="3" t="n">
        <v>0.21</v>
      </c>
      <c r="C6" s="4" t="inlineStr">
        <is>
          <t>Specific fuel consumption (kg/kWh)</t>
        </is>
      </c>
    </row>
    <row r="7">
      <c r="A7" t="inlineStr">
        <is>
          <t>Rho_fuel</t>
        </is>
      </c>
      <c r="B7" s="3" t="n">
        <v>0.84</v>
      </c>
      <c r="C7" s="4" t="inlineStr">
        <is>
          <t>Diesel density (kg/L)</t>
        </is>
      </c>
    </row>
    <row r="8">
      <c r="A8" t="inlineStr">
        <is>
          <t>Load</t>
        </is>
      </c>
      <c r="B8" s="3" t="n">
        <v>0.85</v>
      </c>
      <c r="C8" s="4" t="inlineStr">
        <is>
          <t>Max usable installed-power fraction at cruise</t>
        </is>
      </c>
    </row>
    <row r="9">
      <c r="A9" t="inlineStr">
        <is>
          <t>HP_kW</t>
        </is>
      </c>
      <c r="B9" s="3" t="n">
        <v>0.7457</v>
      </c>
      <c r="C9" s="4" t="inlineStr">
        <is>
          <t>HP → kW</t>
        </is>
      </c>
    </row>
    <row r="10">
      <c r="A10" t="inlineStr">
        <is>
          <t>DraftK</t>
        </is>
      </c>
      <c r="B10" s="3" t="n">
        <v>0.075</v>
      </c>
      <c r="C10" s="4" t="inlineStr">
        <is>
          <t>Estimated draft = DraftK × length when unknown</t>
        </is>
      </c>
    </row>
    <row r="11">
      <c r="A11" t="inlineStr">
        <is>
          <t>DraftMin</t>
        </is>
      </c>
      <c r="B11" s="3" t="n">
        <v>1.4</v>
      </c>
      <c r="C11" s="4" t="inlineStr">
        <is>
          <t>Minimum estimated draft (m)</t>
        </is>
      </c>
    </row>
    <row r="12">
      <c r="A12" t="inlineStr">
        <is>
          <t>RepRoutePerDay</t>
        </is>
      </c>
      <c r="B12" s="3" t="n">
        <v>35</v>
      </c>
      <c r="C12" s="4" t="inlineStr">
        <is>
          <t>Fallback navigation distance per day (nm) when a boat's routes are unknown</t>
        </is>
      </c>
    </row>
    <row r="13">
      <c r="A13" t="inlineStr">
        <is>
          <t>PenEngine</t>
        </is>
      </c>
      <c r="B13" s="3" t="n">
        <v>0.7</v>
      </c>
      <c r="C13" s="4" t="inlineStr">
        <is>
          <t>Score × this when engine power is blank (missing motors)</t>
        </is>
      </c>
    </row>
    <row r="14">
      <c r="A14" t="inlineStr">
        <is>
          <t>PenMissing</t>
        </is>
      </c>
      <c r="B14" s="3" t="n">
        <v>0.85</v>
      </c>
      <c r="C14" s="4" t="inlineStr">
        <is>
          <t>Score × this per other missing key input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Living rating workbook</t>
        </is>
      </c>
      <c r="B2" s="4" t="inlineStr"/>
    </row>
    <row r="3">
      <c r="A3" t="inlineStr">
        <is>
          <t>Yellow cells</t>
        </is>
      </c>
      <c r="B3" s="4" t="inlineStr">
        <is>
          <t>Editable inputs (vessel specs). Correct or fill these by hand — values left blank were rejected as corrupt or were not displayed by the source.</t>
        </is>
      </c>
    </row>
    <row r="4">
      <c r="A4" t="inlineStr">
        <is>
          <t>Green cells</t>
        </is>
      </c>
      <c r="B4" s="4" t="inlineStr">
        <is>
          <t>Formulas — do not edit. They recompute automatically when you change a yellow input.</t>
        </is>
      </c>
    </row>
    <row r="5">
      <c r="A5" t="inlineStr">
        <is>
          <t>Constants sheet</t>
        </is>
      </c>
      <c r="B5" s="4" t="inlineStr">
        <is>
          <t>Model constants (physics coefficients, penalties) are named ranges — tune them and every sheet updates.</t>
        </is>
      </c>
    </row>
    <row r="6">
      <c r="A6" t="inlineStr">
        <is>
          <t>Downgrade</t>
        </is>
      </c>
      <c r="B6" s="4" t="inlineStr">
        <is>
          <t>A listing is automatically downgraded when key inputs (especially engine power) are blank — the data penalty multiplies its score.</t>
        </is>
      </c>
    </row>
    <row r="7">
      <c r="A7" t="inlineStr">
        <is>
          <t>Normalisation</t>
        </is>
      </c>
      <c r="B7" s="4" t="inlineStr">
        <is>
          <t>Scores use whole-column MAX/MIN, so editing one vessel re-scales the whole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2026-06-21T07:39:17Z</dcterms:created>
  <dcterms:modified xsi:type="dcterms:W3CDTF">2026-06-21T07:39:17Z</dcterms:modified>
</cp:coreProperties>
</file>
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W Factor" sheetId="1" state="visible" r:id="rId1"/>
    <sheet name="Constants" sheetId="2" state="visible" r:id="rId2"/>
    <sheet name="WOW model" sheetId="3" state="visible" r:id="rId3"/>
    <sheet name="How to use" sheetId="4" state="visible" r:id="rId4"/>
  </sheets>
  <definedNames>
    <definedName name="Ww_citizen">Constants!$B$2</definedName>
    <definedName name="Ww_farm">Constants!$B$3</definedName>
    <definedName name="Ww_service">Constants!$B$4</definedName>
    <definedName name="Ww_space">Constants!$B$5</definedName>
    <definedName name="Ww_nav">Constants!$B$6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EA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7" customWidth="1" min="4" max="4"/>
    <col width="6" customWidth="1" min="5" max="5"/>
    <col width="8" customWidth="1" min="6" max="6"/>
    <col width="7" customWidth="1" min="7" max="7"/>
    <col width="11" customWidth="1" min="8" max="8"/>
    <col width="14" customWidth="1" min="9" max="9"/>
    <col width="13" customWidth="1" min="10" max="10"/>
    <col width="10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0" customWidth="1" min="18" max="18"/>
  </cols>
  <sheetData>
    <row r="1">
      <c r="A1" s="1" t="inlineStr">
        <is>
          <t>Rank</t>
        </is>
      </c>
      <c r="B1" s="1" t="inlineStr">
        <is>
          <t>Vessel</t>
        </is>
      </c>
      <c r="C1" s="1" t="inlineStr">
        <is>
          <t>Type</t>
        </is>
      </c>
      <c r="D1" s="1" t="inlineStr">
        <is>
          <t>Guests</t>
        </is>
      </c>
      <c r="E1" s="1" t="inlineStr">
        <is>
          <t>Crew</t>
        </is>
      </c>
      <c r="F1" s="1" t="inlineStr">
        <is>
          <t>Length m</t>
        </is>
      </c>
      <c r="G1" s="1" t="inlineStr">
        <is>
          <t>Beam m</t>
        </is>
      </c>
      <c r="H1" s="1" t="inlineStr">
        <is>
          <t>Route nm/day</t>
        </is>
      </c>
      <c r="I1" s="1" t="inlineStr">
        <is>
          <t>Citizen Science</t>
        </is>
      </c>
      <c r="J1" s="1" t="inlineStr">
        <is>
          <t>Farm-to-Table</t>
        </is>
      </c>
      <c r="K1" s="1" t="inlineStr">
        <is>
          <t>crew/guest</t>
        </is>
      </c>
      <c r="L1" s="1" t="inlineStr">
        <is>
          <t>area/guest</t>
        </is>
      </c>
      <c r="M1" s="1" t="inlineStr">
        <is>
          <t>crew01</t>
        </is>
      </c>
      <c r="N1" s="1" t="inlineStr">
        <is>
          <t>area01</t>
        </is>
      </c>
      <c r="O1" s="1" t="inlineStr">
        <is>
          <t>naveff01</t>
        </is>
      </c>
      <c r="P1" s="1" t="inlineStr">
        <is>
          <t>WOW raw</t>
        </is>
      </c>
      <c r="Q1" s="1" t="inlineStr">
        <is>
          <t>WOW Score</t>
        </is>
      </c>
      <c r="R1" s="1" t="inlineStr">
        <is>
          <t>Flags</t>
        </is>
      </c>
    </row>
    <row r="2">
      <c r="A2" s="2">
        <f>IF(Q2="","",RANK(Q2,$Q$2:$Q$127))</f>
        <v/>
      </c>
      <c r="B2" s="3" t="inlineStr">
        <is>
          <t>Seaman Journey</t>
        </is>
      </c>
      <c r="C2" s="3" t="inlineStr">
        <is>
          <t>Catamaran</t>
        </is>
      </c>
      <c r="D2" s="4" t="n">
        <v>16</v>
      </c>
      <c r="E2" s="4" t="n">
        <v>9</v>
      </c>
      <c r="F2" s="4" t="n">
        <v>27</v>
      </c>
      <c r="G2" s="4" t="n">
        <v>11</v>
      </c>
      <c r="H2" s="4" t="n">
        <v>34.1</v>
      </c>
      <c r="I2" s="4" t="n">
        <v>1</v>
      </c>
      <c r="J2" s="4" t="n">
        <v>1</v>
      </c>
      <c r="K2" s="2">
        <f>IF(OR(E2="",D2=""),"",E2/D2)</f>
        <v/>
      </c>
      <c r="L2" s="2">
        <f>IF(OR(F2="",G2="",D2=""),"",F2*G2/D2)</f>
        <v/>
      </c>
      <c r="M2" s="2">
        <f>IFERROR(IF(K2="","",(K2-MIN($K$2:$K$127))/(MAX($K$2:$K$127)-MIN($K$2:$K$127))),"")</f>
        <v/>
      </c>
      <c r="N2" s="2">
        <f>IFERROR(IF(L2="","",(L2-MIN($L$2:$L$127))/(MAX($L$2:$L$127)-MIN($L$2:$L$127))),"")</f>
        <v/>
      </c>
      <c r="O2" s="2">
        <f>IFERROR(IF(H2="","",(MAX($H$2:$H$127)-H2)/(MAX($H$2:$H$127)-MIN($H$2:$H$127))),"")</f>
        <v/>
      </c>
      <c r="P2" s="2">
        <f>Ww_citizen*IF(I2="",0,I2)+Ww_farm*IF(J2="",0,J2)+Ww_service*IF(M2="",0,M2)+Ww_space*IF(N2="",0,N2)+Ww_nav*IF(O2="",0,O2)</f>
        <v/>
      </c>
      <c r="Q2" s="2">
        <f>IFERROR(ROUND(100*(P2-MIN($P$2:$P$127))/(MAX($P$2:$P$127)-MIN($P$2:$P$127)),1),"")</f>
        <v/>
      </c>
      <c r="R2" s="3" t="inlineStr"/>
    </row>
    <row r="3">
      <c r="A3" s="2">
        <f>IF(Q3="","",RANK(Q3,$Q$2:$Q$127))</f>
        <v/>
      </c>
      <c r="B3" t="inlineStr">
        <is>
          <t>Origin, Theory &amp; Evolve</t>
        </is>
      </c>
      <c r="C3" t="inlineStr">
        <is>
          <t>Yacht</t>
        </is>
      </c>
      <c r="D3" s="4" t="n">
        <v>20</v>
      </c>
      <c r="E3" s="4" t="n"/>
      <c r="F3" s="4" t="n"/>
      <c r="G3" s="4" t="n"/>
      <c r="H3" s="4" t="n">
        <v>31.5</v>
      </c>
      <c r="I3" s="4" t="n">
        <v>1</v>
      </c>
      <c r="J3" s="4" t="n">
        <v>0</v>
      </c>
      <c r="K3" s="2">
        <f>IF(OR(E3="",D3=""),"",E3/D3)</f>
        <v/>
      </c>
      <c r="L3" s="2">
        <f>IF(OR(F3="",G3="",D3=""),"",F3*G3/D3)</f>
        <v/>
      </c>
      <c r="M3" s="2">
        <f>IFERROR(IF(K3="","",(K3-MIN($K$2:$K$127))/(MAX($K$2:$K$127)-MIN($K$2:$K$127))),"")</f>
        <v/>
      </c>
      <c r="N3" s="2">
        <f>IFERROR(IF(L3="","",(L3-MIN($L$2:$L$127))/(MAX($L$2:$L$127)-MIN($L$2:$L$127))),"")</f>
        <v/>
      </c>
      <c r="O3" s="2">
        <f>IFERROR(IF(H3="","",(MAX($H$2:$H$127)-H3)/(MAX($H$2:$H$127)-MIN($H$2:$H$127))),"")</f>
        <v/>
      </c>
      <c r="P3" s="2">
        <f>Ww_citizen*IF(I3="",0,I3)+Ww_farm*IF(J3="",0,J3)+Ww_service*IF(M3="",0,M3)+Ww_space*IF(N3="",0,N3)+Ww_nav*IF(O3="",0,O3)</f>
        <v/>
      </c>
      <c r="Q3" s="2">
        <f>IFERROR(ROUND(100*(P3-MIN($P$2:$P$127))/(MAX($P$2:$P$127)-MIN($P$2:$P$127)),1),"")</f>
        <v/>
      </c>
      <c r="R3" t="inlineStr">
        <is>
          <t>length_ft_m_mismatch, missing_length_m, missing_beam_m, missing_crew_count, missing_price_per_day</t>
        </is>
      </c>
    </row>
    <row r="4">
      <c r="A4" s="2">
        <f>IF(Q4="","",RANK(Q4,$Q$2:$Q$127))</f>
        <v/>
      </c>
      <c r="B4" t="inlineStr">
        <is>
          <t>Santa Cruz Ii</t>
        </is>
      </c>
      <c r="C4" t="inlineStr">
        <is>
          <t>Ship</t>
        </is>
      </c>
      <c r="D4" s="4" t="n">
        <v>90</v>
      </c>
      <c r="E4" s="4" t="n">
        <v>61</v>
      </c>
      <c r="F4" s="4" t="n">
        <v>72</v>
      </c>
      <c r="G4" s="4" t="n">
        <v>4</v>
      </c>
      <c r="H4" s="4" t="n">
        <v>41.7</v>
      </c>
      <c r="I4" s="4" t="n">
        <v>1</v>
      </c>
      <c r="J4" s="4" t="n">
        <v>0</v>
      </c>
      <c r="K4" s="2">
        <f>IF(OR(E4="",D4=""),"",E4/D4)</f>
        <v/>
      </c>
      <c r="L4" s="2">
        <f>IF(OR(F4="",G4="",D4=""),"",F4*G4/D4)</f>
        <v/>
      </c>
      <c r="M4" s="2">
        <f>IFERROR(IF(K4="","",(K4-MIN($K$2:$K$127))/(MAX($K$2:$K$127)-MIN($K$2:$K$127))),"")</f>
        <v/>
      </c>
      <c r="N4" s="2">
        <f>IFERROR(IF(L4="","",(L4-MIN($L$2:$L$127))/(MAX($L$2:$L$127)-MIN($L$2:$L$127))),"")</f>
        <v/>
      </c>
      <c r="O4" s="2">
        <f>IFERROR(IF(H4="","",(MAX($H$2:$H$127)-H4)/(MAX($H$2:$H$127)-MIN($H$2:$H$127))),"")</f>
        <v/>
      </c>
      <c r="P4" s="2">
        <f>Ww_citizen*IF(I4="",0,I4)+Ww_farm*IF(J4="",0,J4)+Ww_service*IF(M4="",0,M4)+Ww_space*IF(N4="",0,N4)+Ww_nav*IF(O4="",0,O4)</f>
        <v/>
      </c>
      <c r="Q4" s="2">
        <f>IFERROR(ROUND(100*(P4-MIN($P$2:$P$127))/(MAX($P$2:$P$127)-MIN($P$2:$P$127)),1),"")</f>
        <v/>
      </c>
      <c r="R4" t="inlineStr">
        <is>
          <t>length_ft_m_mismatch, missing_price_per_day</t>
        </is>
      </c>
    </row>
    <row r="5">
      <c r="A5" s="2">
        <f>IF(Q5="","",RANK(Q5,$Q$2:$Q$127))</f>
        <v/>
      </c>
      <c r="B5" t="inlineStr">
        <is>
          <t>National Geographic Endeavour Ii</t>
        </is>
      </c>
      <c r="C5" t="inlineStr">
        <is>
          <t>Ship</t>
        </is>
      </c>
      <c r="D5" s="4" t="n">
        <v>96</v>
      </c>
      <c r="E5" s="4" t="n">
        <v>2</v>
      </c>
      <c r="F5" s="4" t="n">
        <v>72</v>
      </c>
      <c r="G5" s="4" t="n">
        <v>13</v>
      </c>
      <c r="H5" s="4" t="n"/>
      <c r="I5" s="4" t="n">
        <v>1</v>
      </c>
      <c r="J5" s="4" t="n">
        <v>0</v>
      </c>
      <c r="K5" s="2">
        <f>IF(OR(E5="",D5=""),"",E5/D5)</f>
        <v/>
      </c>
      <c r="L5" s="2">
        <f>IF(OR(F5="",G5="",D5=""),"",F5*G5/D5)</f>
        <v/>
      </c>
      <c r="M5" s="2">
        <f>IFERROR(IF(K5="","",(K5-MIN($K$2:$K$127))/(MAX($K$2:$K$127)-MIN($K$2:$K$127))),"")</f>
        <v/>
      </c>
      <c r="N5" s="2">
        <f>IFERROR(IF(L5="","",(L5-MIN($L$2:$L$127))/(MAX($L$2:$L$127)-MIN($L$2:$L$127))),"")</f>
        <v/>
      </c>
      <c r="O5" s="2">
        <f>IFERROR(IF(H5="","",(MAX($H$2:$H$127)-H5)/(MAX($H$2:$H$127)-MIN($H$2:$H$127))),"")</f>
        <v/>
      </c>
      <c r="P5" s="2">
        <f>Ww_citizen*IF(I5="",0,I5)+Ww_farm*IF(J5="",0,J5)+Ww_service*IF(M5="",0,M5)+Ww_space*IF(N5="",0,N5)+Ww_nav*IF(O5="",0,O5)</f>
        <v/>
      </c>
      <c r="Q5" s="2">
        <f>IFERROR(ROUND(100*(P5-MIN($P$2:$P$127))/(MAX($P$2:$P$127)-MIN($P$2:$P$127)),1),"")</f>
        <v/>
      </c>
      <c r="R5" t="inlineStr">
        <is>
          <t>no_engine_data, missing_price_per_day</t>
        </is>
      </c>
    </row>
    <row r="6">
      <c r="A6" s="2">
        <f>IF(Q6="","",RANK(Q6,$Q$2:$Q$127))</f>
        <v/>
      </c>
      <c r="B6" t="inlineStr">
        <is>
          <t>National Geographic Delfina</t>
        </is>
      </c>
      <c r="C6" t="inlineStr">
        <is>
          <t>Ship</t>
        </is>
      </c>
      <c r="D6" s="4" t="n">
        <v>16</v>
      </c>
      <c r="E6" s="4" t="n"/>
      <c r="F6" s="4" t="n">
        <v>29.9</v>
      </c>
      <c r="G6" s="4" t="n"/>
      <c r="H6" s="4" t="n"/>
      <c r="I6" s="4" t="n">
        <v>1</v>
      </c>
      <c r="J6" s="4" t="n">
        <v>0</v>
      </c>
      <c r="K6" s="2">
        <f>IF(OR(E6="",D6=""),"",E6/D6)</f>
        <v/>
      </c>
      <c r="L6" s="2">
        <f>IF(OR(F6="",G6="",D6=""),"",F6*G6/D6)</f>
        <v/>
      </c>
      <c r="M6" s="2">
        <f>IFERROR(IF(K6="","",(K6-MIN($K$2:$K$127))/(MAX($K$2:$K$127)-MIN($K$2:$K$127))),"")</f>
        <v/>
      </c>
      <c r="N6" s="2">
        <f>IFERROR(IF(L6="","",(L6-MIN($L$2:$L$127))/(MAX($L$2:$L$127)-MIN($L$2:$L$127))),"")</f>
        <v/>
      </c>
      <c r="O6" s="2">
        <f>IFERROR(IF(H6="","",(MAX($H$2:$H$127)-H6)/(MAX($H$2:$H$127)-MIN($H$2:$H$127))),"")</f>
        <v/>
      </c>
      <c r="P6" s="2">
        <f>Ww_citizen*IF(I6="",0,I6)+Ww_farm*IF(J6="",0,J6)+Ww_service*IF(M6="",0,M6)+Ww_space*IF(N6="",0,N6)+Ww_nav*IF(O6="",0,O6)</f>
        <v/>
      </c>
      <c r="Q6" s="2">
        <f>IFERROR(ROUND(100*(P6-MIN($P$2:$P$127))/(MAX($P$2:$P$127)-MIN($P$2:$P$127)),1),"")</f>
        <v/>
      </c>
      <c r="R6" t="inlineStr">
        <is>
          <t>missing_beam_m, missing_crew_count, missing_price_per_day</t>
        </is>
      </c>
    </row>
    <row r="7">
      <c r="A7" s="2">
        <f>IF(Q7="","",RANK(Q7,$Q$2:$Q$127))</f>
        <v/>
      </c>
      <c r="B7" t="inlineStr">
        <is>
          <t>National Geographic Gemini</t>
        </is>
      </c>
      <c r="C7" t="inlineStr">
        <is>
          <t>Yacht</t>
        </is>
      </c>
      <c r="D7" s="4" t="n">
        <v>48</v>
      </c>
      <c r="E7" s="4" t="n"/>
      <c r="F7" s="4" t="n">
        <v>90.2</v>
      </c>
      <c r="G7" s="4" t="n"/>
      <c r="H7" s="4" t="n"/>
      <c r="I7" s="4" t="n">
        <v>1</v>
      </c>
      <c r="J7" s="4" t="n">
        <v>0</v>
      </c>
      <c r="K7" s="2">
        <f>IF(OR(E7="",D7=""),"",E7/D7)</f>
        <v/>
      </c>
      <c r="L7" s="2">
        <f>IF(OR(F7="",G7="",D7=""),"",F7*G7/D7)</f>
        <v/>
      </c>
      <c r="M7" s="2">
        <f>IFERROR(IF(K7="","",(K7-MIN($K$2:$K$127))/(MAX($K$2:$K$127)-MIN($K$2:$K$127))),"")</f>
        <v/>
      </c>
      <c r="N7" s="2">
        <f>IFERROR(IF(L7="","",(L7-MIN($L$2:$L$127))/(MAX($L$2:$L$127)-MIN($L$2:$L$127))),"")</f>
        <v/>
      </c>
      <c r="O7" s="2">
        <f>IFERROR(IF(H7="","",(MAX($H$2:$H$127)-H7)/(MAX($H$2:$H$127)-MIN($H$2:$H$127))),"")</f>
        <v/>
      </c>
      <c r="P7" s="2">
        <f>Ww_citizen*IF(I7="",0,I7)+Ww_farm*IF(J7="",0,J7)+Ww_service*IF(M7="",0,M7)+Ww_space*IF(N7="",0,N7)+Ww_nav*IF(O7="",0,O7)</f>
        <v/>
      </c>
      <c r="Q7" s="2">
        <f>IFERROR(ROUND(100*(P7-MIN($P$2:$P$127))/(MAX($P$2:$P$127)-MIN($P$2:$P$127)),1),"")</f>
        <v/>
      </c>
      <c r="R7" t="inlineStr">
        <is>
          <t>missing_beam_m, missing_crew_count, missing_price_per_day</t>
        </is>
      </c>
    </row>
    <row r="8">
      <c r="A8" s="2">
        <f>IF(Q8="","",RANK(Q8,$Q$2:$Q$127))</f>
        <v/>
      </c>
      <c r="B8" t="inlineStr">
        <is>
          <t>National Geographic Islander</t>
        </is>
      </c>
      <c r="C8" t="inlineStr">
        <is>
          <t>Small Yacht</t>
        </is>
      </c>
      <c r="D8" s="4" t="n">
        <v>48</v>
      </c>
      <c r="E8" s="4" t="n"/>
      <c r="F8" s="4" t="n">
        <v>50</v>
      </c>
      <c r="G8" s="4" t="n"/>
      <c r="H8" s="4" t="n"/>
      <c r="I8" s="4" t="n">
        <v>1</v>
      </c>
      <c r="J8" s="4" t="n">
        <v>0</v>
      </c>
      <c r="K8" s="2">
        <f>IF(OR(E8="",D8=""),"",E8/D8)</f>
        <v/>
      </c>
      <c r="L8" s="2">
        <f>IF(OR(F8="",G8="",D8=""),"",F8*G8/D8)</f>
        <v/>
      </c>
      <c r="M8" s="2">
        <f>IFERROR(IF(K8="","",(K8-MIN($K$2:$K$127))/(MAX($K$2:$K$127)-MIN($K$2:$K$127))),"")</f>
        <v/>
      </c>
      <c r="N8" s="2">
        <f>IFERROR(IF(L8="","",(L8-MIN($L$2:$L$127))/(MAX($L$2:$L$127)-MIN($L$2:$L$127))),"")</f>
        <v/>
      </c>
      <c r="O8" s="2">
        <f>IFERROR(IF(H8="","",(MAX($H$2:$H$127)-H8)/(MAX($H$2:$H$127)-MIN($H$2:$H$127))),"")</f>
        <v/>
      </c>
      <c r="P8" s="2">
        <f>Ww_citizen*IF(I8="",0,I8)+Ww_farm*IF(J8="",0,J8)+Ww_service*IF(M8="",0,M8)+Ww_space*IF(N8="",0,N8)+Ww_nav*IF(O8="",0,O8)</f>
        <v/>
      </c>
      <c r="Q8" s="2">
        <f>IFERROR(ROUND(100*(P8-MIN($P$2:$P$127))/(MAX($P$2:$P$127)-MIN($P$2:$P$127)),1),"")</f>
        <v/>
      </c>
      <c r="R8" t="inlineStr">
        <is>
          <t>no_engine_data, missing_beam_m, missing_speed_kn, missing_crew_count, missing_price_per_day</t>
        </is>
      </c>
    </row>
    <row r="9">
      <c r="A9" s="2">
        <f>IF(Q9="","",RANK(Q9,$Q$2:$Q$127))</f>
        <v/>
      </c>
      <c r="B9" t="inlineStr">
        <is>
          <t>National Geographic Islander Ii</t>
        </is>
      </c>
      <c r="C9" t="inlineStr">
        <is>
          <t>Yacht</t>
        </is>
      </c>
      <c r="D9" s="4" t="n">
        <v>48</v>
      </c>
      <c r="E9" s="4" t="n"/>
      <c r="F9" s="4" t="n">
        <v>49</v>
      </c>
      <c r="G9" s="4" t="n">
        <v>3</v>
      </c>
      <c r="H9" s="4" t="n"/>
      <c r="I9" s="4" t="n">
        <v>1</v>
      </c>
      <c r="J9" s="4" t="n">
        <v>0</v>
      </c>
      <c r="K9" s="2">
        <f>IF(OR(E9="",D9=""),"",E9/D9)</f>
        <v/>
      </c>
      <c r="L9" s="2">
        <f>IF(OR(F9="",G9="",D9=""),"",F9*G9/D9)</f>
        <v/>
      </c>
      <c r="M9" s="2">
        <f>IFERROR(IF(K9="","",(K9-MIN($K$2:$K$127))/(MAX($K$2:$K$127)-MIN($K$2:$K$127))),"")</f>
        <v/>
      </c>
      <c r="N9" s="2">
        <f>IFERROR(IF(L9="","",(L9-MIN($L$2:$L$127))/(MAX($L$2:$L$127)-MIN($L$2:$L$127))),"")</f>
        <v/>
      </c>
      <c r="O9" s="2">
        <f>IFERROR(IF(H9="","",(MAX($H$2:$H$127)-H9)/(MAX($H$2:$H$127)-MIN($H$2:$H$127))),"")</f>
        <v/>
      </c>
      <c r="P9" s="2">
        <f>Ww_citizen*IF(I9="",0,I9)+Ww_farm*IF(J9="",0,J9)+Ww_service*IF(M9="",0,M9)+Ww_space*IF(N9="",0,N9)+Ww_nav*IF(O9="",0,O9)</f>
        <v/>
      </c>
      <c r="Q9" s="2">
        <f>IFERROR(ROUND(100*(P9-MIN($P$2:$P$127))/(MAX($P$2:$P$127)-MIN($P$2:$P$127)),1),"")</f>
        <v/>
      </c>
      <c r="R9" t="inlineStr">
        <is>
          <t>no_engine_data, missing_crew_count, missing_price_per_day</t>
        </is>
      </c>
    </row>
    <row r="10">
      <c r="A10" s="2">
        <f>IF(Q10="","",RANK(Q10,$Q$2:$Q$127))</f>
        <v/>
      </c>
      <c r="B10" t="inlineStr">
        <is>
          <t>Origin &amp; Theory</t>
        </is>
      </c>
      <c r="C10" t="inlineStr">
        <is>
          <t>Small Yacht</t>
        </is>
      </c>
      <c r="D10" s="4" t="n">
        <v>20</v>
      </c>
      <c r="E10" s="4" t="n"/>
      <c r="F10" s="4" t="n"/>
      <c r="G10" s="4" t="n">
        <v>8</v>
      </c>
      <c r="H10" s="4" t="n"/>
      <c r="I10" s="4" t="n">
        <v>1</v>
      </c>
      <c r="J10" s="4" t="n">
        <v>0</v>
      </c>
      <c r="K10" s="2">
        <f>IF(OR(E10="",D10=""),"",E10/D10)</f>
        <v/>
      </c>
      <c r="L10" s="2">
        <f>IF(OR(F10="",G10="",D10=""),"",F10*G10/D10)</f>
        <v/>
      </c>
      <c r="M10" s="2">
        <f>IFERROR(IF(K10="","",(K10-MIN($K$2:$K$127))/(MAX($K$2:$K$127)-MIN($K$2:$K$127))),"")</f>
        <v/>
      </c>
      <c r="N10" s="2">
        <f>IFERROR(IF(L10="","",(L10-MIN($L$2:$L$127))/(MAX($L$2:$L$127)-MIN($L$2:$L$127))),"")</f>
        <v/>
      </c>
      <c r="O10" s="2">
        <f>IFERROR(IF(H10="","",(MAX($H$2:$H$127)-H10)/(MAX($H$2:$H$127)-MIN($H$2:$H$127))),"")</f>
        <v/>
      </c>
      <c r="P10" s="2">
        <f>Ww_citizen*IF(I10="",0,I10)+Ww_farm*IF(J10="",0,J10)+Ww_service*IF(M10="",0,M10)+Ww_space*IF(N10="",0,N10)+Ww_nav*IF(O10="",0,O10)</f>
        <v/>
      </c>
      <c r="Q10" s="2">
        <f>IFERROR(ROUND(100*(P10-MIN($P$2:$P$127))/(MAX($P$2:$P$127)-MIN($P$2:$P$127)),1),"")</f>
        <v/>
      </c>
      <c r="R10" t="inlineStr">
        <is>
          <t>length_ft_m_mismatch, no_engine_data, missing_length_m, missing_crew_count, missing_price_per_day</t>
        </is>
      </c>
    </row>
    <row r="11">
      <c r="A11" s="2">
        <f>IF(Q11="","",RANK(Q11,$Q$2:$Q$127))</f>
        <v/>
      </c>
      <c r="B11" t="inlineStr">
        <is>
          <t>Treasure Of Galapagos</t>
        </is>
      </c>
      <c r="C11" t="inlineStr">
        <is>
          <t>Catamaran</t>
        </is>
      </c>
      <c r="D11" s="4" t="n">
        <v>16</v>
      </c>
      <c r="E11" s="4" t="n">
        <v>11</v>
      </c>
      <c r="F11" s="4" t="n">
        <v>31</v>
      </c>
      <c r="G11" s="4" t="n">
        <v>20</v>
      </c>
      <c r="H11" s="4" t="n">
        <v>27.6</v>
      </c>
      <c r="I11" s="4" t="n">
        <v>0</v>
      </c>
      <c r="J11" s="4" t="n">
        <v>0</v>
      </c>
      <c r="K11" s="2">
        <f>IF(OR(E11="",D11=""),"",E11/D11)</f>
        <v/>
      </c>
      <c r="L11" s="2">
        <f>IF(OR(F11="",G11="",D11=""),"",F11*G11/D11)</f>
        <v/>
      </c>
      <c r="M11" s="2">
        <f>IFERROR(IF(K11="","",(K11-MIN($K$2:$K$127))/(MAX($K$2:$K$127)-MIN($K$2:$K$127))),"")</f>
        <v/>
      </c>
      <c r="N11" s="2">
        <f>IFERROR(IF(L11="","",(L11-MIN($L$2:$L$127))/(MAX($L$2:$L$127)-MIN($L$2:$L$127))),"")</f>
        <v/>
      </c>
      <c r="O11" s="2">
        <f>IFERROR(IF(H11="","",(MAX($H$2:$H$127)-H11)/(MAX($H$2:$H$127)-MIN($H$2:$H$127))),"")</f>
        <v/>
      </c>
      <c r="P11" s="2">
        <f>Ww_citizen*IF(I11="",0,I11)+Ww_farm*IF(J11="",0,J11)+Ww_service*IF(M11="",0,M11)+Ww_space*IF(N11="",0,N11)+Ww_nav*IF(O11="",0,O11)</f>
        <v/>
      </c>
      <c r="Q11" s="2">
        <f>IFERROR(ROUND(100*(P11-MIN($P$2:$P$127))/(MAX($P$2:$P$127)-MIN($P$2:$P$127)),1),"")</f>
        <v/>
      </c>
      <c r="R11" t="inlineStr"/>
    </row>
    <row r="12">
      <c r="A12" s="2">
        <f>IF(Q12="","",RANK(Q12,$Q$2:$Q$127))</f>
        <v/>
      </c>
      <c r="B12" t="inlineStr">
        <is>
          <t>Monserrat</t>
        </is>
      </c>
      <c r="C12" t="inlineStr">
        <is>
          <t>Yacht</t>
        </is>
      </c>
      <c r="D12" s="4" t="n">
        <v>16</v>
      </c>
      <c r="E12" s="4" t="n">
        <v>12</v>
      </c>
      <c r="F12" s="4" t="n">
        <v>28</v>
      </c>
      <c r="G12" s="4" t="n">
        <v>7</v>
      </c>
      <c r="H12" s="4" t="n">
        <v>25.1</v>
      </c>
      <c r="I12" s="4" t="n">
        <v>0</v>
      </c>
      <c r="J12" s="4" t="n">
        <v>0</v>
      </c>
      <c r="K12" s="2">
        <f>IF(OR(E12="",D12=""),"",E12/D12)</f>
        <v/>
      </c>
      <c r="L12" s="2">
        <f>IF(OR(F12="",G12="",D12=""),"",F12*G12/D12)</f>
        <v/>
      </c>
      <c r="M12" s="2">
        <f>IFERROR(IF(K12="","",(K12-MIN($K$2:$K$127))/(MAX($K$2:$K$127)-MIN($K$2:$K$127))),"")</f>
        <v/>
      </c>
      <c r="N12" s="2">
        <f>IFERROR(IF(L12="","",(L12-MIN($L$2:$L$127))/(MAX($L$2:$L$127)-MIN($L$2:$L$127))),"")</f>
        <v/>
      </c>
      <c r="O12" s="2">
        <f>IFERROR(IF(H12="","",(MAX($H$2:$H$127)-H12)/(MAX($H$2:$H$127)-MIN($H$2:$H$127))),"")</f>
        <v/>
      </c>
      <c r="P12" s="2">
        <f>Ww_citizen*IF(I12="",0,I12)+Ww_farm*IF(J12="",0,J12)+Ww_service*IF(M12="",0,M12)+Ww_space*IF(N12="",0,N12)+Ww_nav*IF(O12="",0,O12)</f>
        <v/>
      </c>
      <c r="Q12" s="2">
        <f>IFERROR(ROUND(100*(P12-MIN($P$2:$P$127))/(MAX($P$2:$P$127)-MIN($P$2:$P$127)),1),"")</f>
        <v/>
      </c>
      <c r="R12" t="inlineStr"/>
    </row>
    <row r="13">
      <c r="A13" s="2">
        <f>IF(Q13="","",RANK(Q13,$Q$2:$Q$127))</f>
        <v/>
      </c>
      <c r="B13" t="inlineStr">
        <is>
          <t>Passion</t>
        </is>
      </c>
      <c r="C13" t="inlineStr">
        <is>
          <t>Yacht</t>
        </is>
      </c>
      <c r="D13" s="4" t="n">
        <v>14</v>
      </c>
      <c r="E13" s="4" t="n">
        <v>12</v>
      </c>
      <c r="F13" s="4" t="n">
        <v>48</v>
      </c>
      <c r="G13" s="4" t="n">
        <v>9</v>
      </c>
      <c r="H13" s="4" t="n">
        <v>32.9</v>
      </c>
      <c r="I13" s="4" t="n">
        <v>0</v>
      </c>
      <c r="J13" s="4" t="n">
        <v>0</v>
      </c>
      <c r="K13" s="2">
        <f>IF(OR(E13="",D13=""),"",E13/D13)</f>
        <v/>
      </c>
      <c r="L13" s="2">
        <f>IF(OR(F13="",G13="",D13=""),"",F13*G13/D13)</f>
        <v/>
      </c>
      <c r="M13" s="2">
        <f>IFERROR(IF(K13="","",(K13-MIN($K$2:$K$127))/(MAX($K$2:$K$127)-MIN($K$2:$K$127))),"")</f>
        <v/>
      </c>
      <c r="N13" s="2">
        <f>IFERROR(IF(L13="","",(L13-MIN($L$2:$L$127))/(MAX($L$2:$L$127)-MIN($L$2:$L$127))),"")</f>
        <v/>
      </c>
      <c r="O13" s="2">
        <f>IFERROR(IF(H13="","",(MAX($H$2:$H$127)-H13)/(MAX($H$2:$H$127)-MIN($H$2:$H$127))),"")</f>
        <v/>
      </c>
      <c r="P13" s="2">
        <f>Ww_citizen*IF(I13="",0,I13)+Ww_farm*IF(J13="",0,J13)+Ww_service*IF(M13="",0,M13)+Ww_space*IF(N13="",0,N13)+Ww_nav*IF(O13="",0,O13)</f>
        <v/>
      </c>
      <c r="Q13" s="2">
        <f>IFERROR(ROUND(100*(P13-MIN($P$2:$P$127))/(MAX($P$2:$P$127)-MIN($P$2:$P$127)),1),"")</f>
        <v/>
      </c>
      <c r="R13" t="inlineStr"/>
    </row>
    <row r="14">
      <c r="A14" s="2">
        <f>IF(Q14="","",RANK(Q14,$Q$2:$Q$127))</f>
        <v/>
      </c>
      <c r="B14" t="inlineStr">
        <is>
          <t>Alya</t>
        </is>
      </c>
      <c r="C14" t="inlineStr">
        <is>
          <t>Catamaran</t>
        </is>
      </c>
      <c r="D14" s="4" t="n">
        <v>16</v>
      </c>
      <c r="E14" s="4" t="n">
        <v>10</v>
      </c>
      <c r="F14" s="4" t="n">
        <v>32</v>
      </c>
      <c r="G14" s="4" t="n">
        <v>13</v>
      </c>
      <c r="H14" s="4" t="n">
        <v>30.1</v>
      </c>
      <c r="I14" s="4" t="n">
        <v>0</v>
      </c>
      <c r="J14" s="4" t="n">
        <v>0</v>
      </c>
      <c r="K14" s="2">
        <f>IF(OR(E14="",D14=""),"",E14/D14)</f>
        <v/>
      </c>
      <c r="L14" s="2">
        <f>IF(OR(F14="",G14="",D14=""),"",F14*G14/D14)</f>
        <v/>
      </c>
      <c r="M14" s="2">
        <f>IFERROR(IF(K14="","",(K14-MIN($K$2:$K$127))/(MAX($K$2:$K$127)-MIN($K$2:$K$127))),"")</f>
        <v/>
      </c>
      <c r="N14" s="2">
        <f>IFERROR(IF(L14="","",(L14-MIN($L$2:$L$127))/(MAX($L$2:$L$127)-MIN($L$2:$L$127))),"")</f>
        <v/>
      </c>
      <c r="O14" s="2">
        <f>IFERROR(IF(H14="","",(MAX($H$2:$H$127)-H14)/(MAX($H$2:$H$127)-MIN($H$2:$H$127))),"")</f>
        <v/>
      </c>
      <c r="P14" s="2">
        <f>Ww_citizen*IF(I14="",0,I14)+Ww_farm*IF(J14="",0,J14)+Ww_service*IF(M14="",0,M14)+Ww_space*IF(N14="",0,N14)+Ww_nav*IF(O14="",0,O14)</f>
        <v/>
      </c>
      <c r="Q14" s="2">
        <f>IFERROR(ROUND(100*(P14-MIN($P$2:$P$127))/(MAX($P$2:$P$127)-MIN($P$2:$P$127)),1),"")</f>
        <v/>
      </c>
      <c r="R14" t="inlineStr"/>
    </row>
    <row r="15">
      <c r="A15" s="2">
        <f>IF(Q15="","",RANK(Q15,$Q$2:$Q$127))</f>
        <v/>
      </c>
      <c r="B15" t="inlineStr">
        <is>
          <t>Isabela Ii</t>
        </is>
      </c>
      <c r="C15" t="inlineStr">
        <is>
          <t>Ship</t>
        </is>
      </c>
      <c r="D15" s="4" t="n">
        <v>40</v>
      </c>
      <c r="E15" s="4" t="n">
        <v>27</v>
      </c>
      <c r="F15" s="4" t="n">
        <v>38</v>
      </c>
      <c r="G15" s="4" t="n">
        <v>12</v>
      </c>
      <c r="H15" s="4" t="n">
        <v>31.1</v>
      </c>
      <c r="I15" s="4" t="n">
        <v>0</v>
      </c>
      <c r="J15" s="4" t="n">
        <v>0</v>
      </c>
      <c r="K15" s="2">
        <f>IF(OR(E15="",D15=""),"",E15/D15)</f>
        <v/>
      </c>
      <c r="L15" s="2">
        <f>IF(OR(F15="",G15="",D15=""),"",F15*G15/D15)</f>
        <v/>
      </c>
      <c r="M15" s="2">
        <f>IFERROR(IF(K15="","",(K15-MIN($K$2:$K$127))/(MAX($K$2:$K$127)-MIN($K$2:$K$127))),"")</f>
        <v/>
      </c>
      <c r="N15" s="2">
        <f>IFERROR(IF(L15="","",(L15-MIN($L$2:$L$127))/(MAX($L$2:$L$127)-MIN($L$2:$L$127))),"")</f>
        <v/>
      </c>
      <c r="O15" s="2">
        <f>IFERROR(IF(H15="","",(MAX($H$2:$H$127)-H15)/(MAX($H$2:$H$127)-MIN($H$2:$H$127))),"")</f>
        <v/>
      </c>
      <c r="P15" s="2">
        <f>Ww_citizen*IF(I15="",0,I15)+Ww_farm*IF(J15="",0,J15)+Ww_service*IF(M15="",0,M15)+Ww_space*IF(N15="",0,N15)+Ww_nav*IF(O15="",0,O15)</f>
        <v/>
      </c>
      <c r="Q15" s="2">
        <f>IFERROR(ROUND(100*(P15-MIN($P$2:$P$127))/(MAX($P$2:$P$127)-MIN($P$2:$P$127)),1),"")</f>
        <v/>
      </c>
      <c r="R15" t="inlineStr"/>
    </row>
    <row r="16">
      <c r="A16" s="2">
        <f>IF(Q16="","",RANK(Q16,$Q$2:$Q$127))</f>
        <v/>
      </c>
      <c r="B16" t="inlineStr">
        <is>
          <t>Infinity</t>
        </is>
      </c>
      <c r="C16" t="inlineStr">
        <is>
          <t>Yacht</t>
        </is>
      </c>
      <c r="D16" s="4" t="n">
        <v>20</v>
      </c>
      <c r="E16" s="4" t="n">
        <v>13</v>
      </c>
      <c r="F16" s="4" t="n">
        <v>49</v>
      </c>
      <c r="G16" s="4" t="n">
        <v>10</v>
      </c>
      <c r="H16" s="4" t="n">
        <v>34.5</v>
      </c>
      <c r="I16" s="4" t="n">
        <v>0</v>
      </c>
      <c r="J16" s="4" t="n">
        <v>0</v>
      </c>
      <c r="K16" s="2">
        <f>IF(OR(E16="",D16=""),"",E16/D16)</f>
        <v/>
      </c>
      <c r="L16" s="2">
        <f>IF(OR(F16="",G16="",D16=""),"",F16*G16/D16)</f>
        <v/>
      </c>
      <c r="M16" s="2">
        <f>IFERROR(IF(K16="","",(K16-MIN($K$2:$K$127))/(MAX($K$2:$K$127)-MIN($K$2:$K$127))),"")</f>
        <v/>
      </c>
      <c r="N16" s="2">
        <f>IFERROR(IF(L16="","",(L16-MIN($L$2:$L$127))/(MAX($L$2:$L$127)-MIN($L$2:$L$127))),"")</f>
        <v/>
      </c>
      <c r="O16" s="2">
        <f>IFERROR(IF(H16="","",(MAX($H$2:$H$127)-H16)/(MAX($H$2:$H$127)-MIN($H$2:$H$127))),"")</f>
        <v/>
      </c>
      <c r="P16" s="2">
        <f>Ww_citizen*IF(I16="",0,I16)+Ww_farm*IF(J16="",0,J16)+Ww_service*IF(M16="",0,M16)+Ww_space*IF(N16="",0,N16)+Ww_nav*IF(O16="",0,O16)</f>
        <v/>
      </c>
      <c r="Q16" s="2">
        <f>IFERROR(ROUND(100*(P16-MIN($P$2:$P$127))/(MAX($P$2:$P$127)-MIN($P$2:$P$127)),1),"")</f>
        <v/>
      </c>
      <c r="R16" t="inlineStr"/>
    </row>
    <row r="17">
      <c r="A17" s="2">
        <f>IF(Q17="","",RANK(Q17,$Q$2:$Q$127))</f>
        <v/>
      </c>
      <c r="B17" t="inlineStr">
        <is>
          <t>Galapagos Sea Star</t>
        </is>
      </c>
      <c r="C17" t="inlineStr">
        <is>
          <t>Yacht</t>
        </is>
      </c>
      <c r="D17" s="4" t="n">
        <v>16</v>
      </c>
      <c r="E17" s="4" t="n">
        <v>11</v>
      </c>
      <c r="F17" s="4" t="n">
        <v>42</v>
      </c>
      <c r="G17" s="4" t="n">
        <v>9</v>
      </c>
      <c r="H17" s="4" t="n">
        <v>35</v>
      </c>
      <c r="I17" s="4" t="n">
        <v>0</v>
      </c>
      <c r="J17" s="4" t="n">
        <v>0</v>
      </c>
      <c r="K17" s="2">
        <f>IF(OR(E17="",D17=""),"",E17/D17)</f>
        <v/>
      </c>
      <c r="L17" s="2">
        <f>IF(OR(F17="",G17="",D17=""),"",F17*G17/D17)</f>
        <v/>
      </c>
      <c r="M17" s="2">
        <f>IFERROR(IF(K17="","",(K17-MIN($K$2:$K$127))/(MAX($K$2:$K$127)-MIN($K$2:$K$127))),"")</f>
        <v/>
      </c>
      <c r="N17" s="2">
        <f>IFERROR(IF(L17="","",(L17-MIN($L$2:$L$127))/(MAX($L$2:$L$127)-MIN($L$2:$L$127))),"")</f>
        <v/>
      </c>
      <c r="O17" s="2">
        <f>IFERROR(IF(H17="","",(MAX($H$2:$H$127)-H17)/(MAX($H$2:$H$127)-MIN($H$2:$H$127))),"")</f>
        <v/>
      </c>
      <c r="P17" s="2">
        <f>Ww_citizen*IF(I17="",0,I17)+Ww_farm*IF(J17="",0,J17)+Ww_service*IF(M17="",0,M17)+Ww_space*IF(N17="",0,N17)+Ww_nav*IF(O17="",0,O17)</f>
        <v/>
      </c>
      <c r="Q17" s="2">
        <f>IFERROR(ROUND(100*(P17-MIN($P$2:$P$127))/(MAX($P$2:$P$127)-MIN($P$2:$P$127)),1),"")</f>
        <v/>
      </c>
      <c r="R17" t="inlineStr"/>
    </row>
    <row r="18">
      <c r="A18" s="2">
        <f>IF(Q18="","",RANK(Q18,$Q$2:$Q$127))</f>
        <v/>
      </c>
      <c r="B18" t="inlineStr">
        <is>
          <t>Aqua Mare</t>
        </is>
      </c>
      <c r="C18" t="inlineStr">
        <is>
          <t>Yacht</t>
        </is>
      </c>
      <c r="D18" s="4" t="n">
        <v>16</v>
      </c>
      <c r="E18" s="4" t="n">
        <v>12</v>
      </c>
      <c r="F18" s="4" t="n">
        <v>50</v>
      </c>
      <c r="G18" s="4" t="n">
        <v>18</v>
      </c>
      <c r="H18" s="4" t="n"/>
      <c r="I18" s="4" t="n">
        <v>0</v>
      </c>
      <c r="J18" s="4" t="n">
        <v>0</v>
      </c>
      <c r="K18" s="2">
        <f>IF(OR(E18="",D18=""),"",E18/D18)</f>
        <v/>
      </c>
      <c r="L18" s="2">
        <f>IF(OR(F18="",G18="",D18=""),"",F18*G18/D18)</f>
        <v/>
      </c>
      <c r="M18" s="2">
        <f>IFERROR(IF(K18="","",(K18-MIN($K$2:$K$127))/(MAX($K$2:$K$127)-MIN($K$2:$K$127))),"")</f>
        <v/>
      </c>
      <c r="N18" s="2">
        <f>IFERROR(IF(L18="","",(L18-MIN($L$2:$L$127))/(MAX($L$2:$L$127)-MIN($L$2:$L$127))),"")</f>
        <v/>
      </c>
      <c r="O18" s="2">
        <f>IFERROR(IF(H18="","",(MAX($H$2:$H$127)-H18)/(MAX($H$2:$H$127)-MIN($H$2:$H$127))),"")</f>
        <v/>
      </c>
      <c r="P18" s="2">
        <f>Ww_citizen*IF(I18="",0,I18)+Ww_farm*IF(J18="",0,J18)+Ww_service*IF(M18="",0,M18)+Ww_space*IF(N18="",0,N18)+Ww_nav*IF(O18="",0,O18)</f>
        <v/>
      </c>
      <c r="Q18" s="2">
        <f>IFERROR(ROUND(100*(P18-MIN($P$2:$P$127))/(MAX($P$2:$P$127)-MIN($P$2:$P$127)),1),"")</f>
        <v/>
      </c>
      <c r="R18" t="inlineStr">
        <is>
          <t>missing_price_per_day</t>
        </is>
      </c>
    </row>
    <row r="19">
      <c r="A19" s="2">
        <f>IF(Q19="","",RANK(Q19,$Q$2:$Q$127))</f>
        <v/>
      </c>
      <c r="B19" t="inlineStr">
        <is>
          <t>Grace</t>
        </is>
      </c>
      <c r="C19" t="inlineStr">
        <is>
          <t>Ship</t>
        </is>
      </c>
      <c r="D19" s="4" t="n">
        <v>16</v>
      </c>
      <c r="E19" s="4" t="n">
        <v>11</v>
      </c>
      <c r="F19" s="4" t="n">
        <v>44</v>
      </c>
      <c r="G19" s="4" t="n">
        <v>7</v>
      </c>
      <c r="H19" s="4" t="n">
        <v>35.2</v>
      </c>
      <c r="I19" s="4" t="n">
        <v>0</v>
      </c>
      <c r="J19" s="4" t="n">
        <v>0</v>
      </c>
      <c r="K19" s="2">
        <f>IF(OR(E19="",D19=""),"",E19/D19)</f>
        <v/>
      </c>
      <c r="L19" s="2">
        <f>IF(OR(F19="",G19="",D19=""),"",F19*G19/D19)</f>
        <v/>
      </c>
      <c r="M19" s="2">
        <f>IFERROR(IF(K19="","",(K19-MIN($K$2:$K$127))/(MAX($K$2:$K$127)-MIN($K$2:$K$127))),"")</f>
        <v/>
      </c>
      <c r="N19" s="2">
        <f>IFERROR(IF(L19="","",(L19-MIN($L$2:$L$127))/(MAX($L$2:$L$127)-MIN($L$2:$L$127))),"")</f>
        <v/>
      </c>
      <c r="O19" s="2">
        <f>IFERROR(IF(H19="","",(MAX($H$2:$H$127)-H19)/(MAX($H$2:$H$127)-MIN($H$2:$H$127))),"")</f>
        <v/>
      </c>
      <c r="P19" s="2">
        <f>Ww_citizen*IF(I19="",0,I19)+Ww_farm*IF(J19="",0,J19)+Ww_service*IF(M19="",0,M19)+Ww_space*IF(N19="",0,N19)+Ww_nav*IF(O19="",0,O19)</f>
        <v/>
      </c>
      <c r="Q19" s="2">
        <f>IFERROR(ROUND(100*(P19-MIN($P$2:$P$127))/(MAX($P$2:$P$127)-MIN($P$2:$P$127)),1),"")</f>
        <v/>
      </c>
      <c r="R19" t="inlineStr">
        <is>
          <t>missing_price_per_day</t>
        </is>
      </c>
    </row>
    <row r="20">
      <c r="A20" s="2">
        <f>IF(Q20="","",RANK(Q20,$Q$2:$Q$127))</f>
        <v/>
      </c>
      <c r="B20" t="inlineStr">
        <is>
          <t>Grand Queen Beatriz</t>
        </is>
      </c>
      <c r="C20" t="inlineStr">
        <is>
          <t>Yacht</t>
        </is>
      </c>
      <c r="D20" s="4" t="n">
        <v>16</v>
      </c>
      <c r="E20" s="4" t="n">
        <v>10</v>
      </c>
      <c r="F20" s="4" t="n">
        <v>41</v>
      </c>
      <c r="G20" s="4" t="n">
        <v>20</v>
      </c>
      <c r="H20" s="4" t="n"/>
      <c r="I20" s="4" t="n">
        <v>0</v>
      </c>
      <c r="J20" s="4" t="n">
        <v>0</v>
      </c>
      <c r="K20" s="2">
        <f>IF(OR(E20="",D20=""),"",E20/D20)</f>
        <v/>
      </c>
      <c r="L20" s="2">
        <f>IF(OR(F20="",G20="",D20=""),"",F20*G20/D20)</f>
        <v/>
      </c>
      <c r="M20" s="2">
        <f>IFERROR(IF(K20="","",(K20-MIN($K$2:$K$127))/(MAX($K$2:$K$127)-MIN($K$2:$K$127))),"")</f>
        <v/>
      </c>
      <c r="N20" s="2">
        <f>IFERROR(IF(L20="","",(L20-MIN($L$2:$L$127))/(MAX($L$2:$L$127)-MIN($L$2:$L$127))),"")</f>
        <v/>
      </c>
      <c r="O20" s="2">
        <f>IFERROR(IF(H20="","",(MAX($H$2:$H$127)-H20)/(MAX($H$2:$H$127)-MIN($H$2:$H$127))),"")</f>
        <v/>
      </c>
      <c r="P20" s="2">
        <f>Ww_citizen*IF(I20="",0,I20)+Ww_farm*IF(J20="",0,J20)+Ww_service*IF(M20="",0,M20)+Ww_space*IF(N20="",0,N20)+Ww_nav*IF(O20="",0,O20)</f>
        <v/>
      </c>
      <c r="Q20" s="2">
        <f>IFERROR(ROUND(100*(P20-MIN($P$2:$P$127))/(MAX($P$2:$P$127)-MIN($P$2:$P$127)),1),"")</f>
        <v/>
      </c>
      <c r="R20" t="inlineStr">
        <is>
          <t>length_ft_m_mismatch, no_engine_data</t>
        </is>
      </c>
    </row>
    <row r="21">
      <c r="A21" s="2">
        <f>IF(Q21="","",RANK(Q21,$Q$2:$Q$127))</f>
        <v/>
      </c>
      <c r="B21" t="inlineStr">
        <is>
          <t>Celebrity Xpedition</t>
        </is>
      </c>
      <c r="C21" t="inlineStr">
        <is>
          <t>Ship</t>
        </is>
      </c>
      <c r="D21" s="4" t="n">
        <v>48</v>
      </c>
      <c r="E21" s="4" t="n">
        <v>68</v>
      </c>
      <c r="F21" s="4" t="n">
        <v>90.2</v>
      </c>
      <c r="G21" s="4" t="n"/>
      <c r="H21" s="4" t="n"/>
      <c r="I21" s="4" t="n">
        <v>0</v>
      </c>
      <c r="J21" s="4" t="n">
        <v>0</v>
      </c>
      <c r="K21" s="2">
        <f>IF(OR(E21="",D21=""),"",E21/D21)</f>
        <v/>
      </c>
      <c r="L21" s="2">
        <f>IF(OR(F21="",G21="",D21=""),"",F21*G21/D21)</f>
        <v/>
      </c>
      <c r="M21" s="2">
        <f>IFERROR(IF(K21="","",(K21-MIN($K$2:$K$127))/(MAX($K$2:$K$127)-MIN($K$2:$K$127))),"")</f>
        <v/>
      </c>
      <c r="N21" s="2">
        <f>IFERROR(IF(L21="","",(L21-MIN($L$2:$L$127))/(MAX($L$2:$L$127)-MIN($L$2:$L$127))),"")</f>
        <v/>
      </c>
      <c r="O21" s="2">
        <f>IFERROR(IF(H21="","",(MAX($H$2:$H$127)-H21)/(MAX($H$2:$H$127)-MIN($H$2:$H$127))),"")</f>
        <v/>
      </c>
      <c r="P21" s="2">
        <f>Ww_citizen*IF(I21="",0,I21)+Ww_farm*IF(J21="",0,J21)+Ww_service*IF(M21="",0,M21)+Ww_space*IF(N21="",0,N21)+Ww_nav*IF(O21="",0,O21)</f>
        <v/>
      </c>
      <c r="Q21" s="2">
        <f>IFERROR(ROUND(100*(P21-MIN($P$2:$P$127))/(MAX($P$2:$P$127)-MIN($P$2:$P$127)),1),"")</f>
        <v/>
      </c>
      <c r="R21" t="inlineStr">
        <is>
          <t>no_engine_data, missing_beam_m, missing_price_per_day</t>
        </is>
      </c>
    </row>
    <row r="22">
      <c r="A22" s="2">
        <f>IF(Q22="","",RANK(Q22,$Q$2:$Q$127))</f>
        <v/>
      </c>
      <c r="B22" t="inlineStr">
        <is>
          <t>Endemic</t>
        </is>
      </c>
      <c r="C22" t="inlineStr">
        <is>
          <t>Catamaran</t>
        </is>
      </c>
      <c r="D22" s="4" t="n">
        <v>16</v>
      </c>
      <c r="E22" s="4" t="n">
        <v>11</v>
      </c>
      <c r="F22" s="4" t="n">
        <v>35</v>
      </c>
      <c r="G22" s="4" t="n">
        <v>14</v>
      </c>
      <c r="H22" s="4" t="n">
        <v>40.8</v>
      </c>
      <c r="I22" s="4" t="n">
        <v>0</v>
      </c>
      <c r="J22" s="4" t="n">
        <v>0</v>
      </c>
      <c r="K22" s="2">
        <f>IF(OR(E22="",D22=""),"",E22/D22)</f>
        <v/>
      </c>
      <c r="L22" s="2">
        <f>IF(OR(F22="",G22="",D22=""),"",F22*G22/D22)</f>
        <v/>
      </c>
      <c r="M22" s="2">
        <f>IFERROR(IF(K22="","",(K22-MIN($K$2:$K$127))/(MAX($K$2:$K$127)-MIN($K$2:$K$127))),"")</f>
        <v/>
      </c>
      <c r="N22" s="2">
        <f>IFERROR(IF(L22="","",(L22-MIN($L$2:$L$127))/(MAX($L$2:$L$127)-MIN($L$2:$L$127))),"")</f>
        <v/>
      </c>
      <c r="O22" s="2">
        <f>IFERROR(IF(H22="","",(MAX($H$2:$H$127)-H22)/(MAX($H$2:$H$127)-MIN($H$2:$H$127))),"")</f>
        <v/>
      </c>
      <c r="P22" s="2">
        <f>Ww_citizen*IF(I22="",0,I22)+Ww_farm*IF(J22="",0,J22)+Ww_service*IF(M22="",0,M22)+Ww_space*IF(N22="",0,N22)+Ww_nav*IF(O22="",0,O22)</f>
        <v/>
      </c>
      <c r="Q22" s="2">
        <f>IFERROR(ROUND(100*(P22-MIN($P$2:$P$127))/(MAX($P$2:$P$127)-MIN($P$2:$P$127)),1),"")</f>
        <v/>
      </c>
      <c r="R22" t="inlineStr"/>
    </row>
    <row r="23">
      <c r="A23" s="2">
        <f>IF(Q23="","",RANK(Q23,$Q$2:$Q$127))</f>
        <v/>
      </c>
      <c r="B23" t="inlineStr">
        <is>
          <t>Darwin</t>
        </is>
      </c>
      <c r="C23" t="inlineStr">
        <is>
          <t>Yacht</t>
        </is>
      </c>
      <c r="D23" s="4" t="n">
        <v>16</v>
      </c>
      <c r="E23" s="4" t="n">
        <v>7</v>
      </c>
      <c r="F23" s="4" t="n">
        <v>18.3</v>
      </c>
      <c r="G23" s="4" t="n">
        <v>5</v>
      </c>
      <c r="H23" s="4" t="n">
        <v>31.8</v>
      </c>
      <c r="I23" s="4" t="n">
        <v>0</v>
      </c>
      <c r="J23" s="4" t="n">
        <v>0</v>
      </c>
      <c r="K23" s="2">
        <f>IF(OR(E23="",D23=""),"",E23/D23)</f>
        <v/>
      </c>
      <c r="L23" s="2">
        <f>IF(OR(F23="",G23="",D23=""),"",F23*G23/D23)</f>
        <v/>
      </c>
      <c r="M23" s="2">
        <f>IFERROR(IF(K23="","",(K23-MIN($K$2:$K$127))/(MAX($K$2:$K$127)-MIN($K$2:$K$127))),"")</f>
        <v/>
      </c>
      <c r="N23" s="2">
        <f>IFERROR(IF(L23="","",(L23-MIN($L$2:$L$127))/(MAX($L$2:$L$127)-MIN($L$2:$L$127))),"")</f>
        <v/>
      </c>
      <c r="O23" s="2">
        <f>IFERROR(IF(H23="","",(MAX($H$2:$H$127)-H23)/(MAX($H$2:$H$127)-MIN($H$2:$H$127))),"")</f>
        <v/>
      </c>
      <c r="P23" s="2">
        <f>Ww_citizen*IF(I23="",0,I23)+Ww_farm*IF(J23="",0,J23)+Ww_service*IF(M23="",0,M23)+Ww_space*IF(N23="",0,N23)+Ww_nav*IF(O23="",0,O23)</f>
        <v/>
      </c>
      <c r="Q23" s="2">
        <f>IFERROR(ROUND(100*(P23-MIN($P$2:$P$127))/(MAX($P$2:$P$127)-MIN($P$2:$P$127)),1),"")</f>
        <v/>
      </c>
      <c r="R23" t="inlineStr">
        <is>
          <t>missing_price_per_day</t>
        </is>
      </c>
    </row>
    <row r="24">
      <c r="A24" s="2">
        <f>IF(Q24="","",RANK(Q24,$Q$2:$Q$127))</f>
        <v/>
      </c>
      <c r="B24" t="inlineStr">
        <is>
          <t>Eco Galaxy</t>
        </is>
      </c>
      <c r="C24" t="inlineStr">
        <is>
          <t>Catamaran</t>
        </is>
      </c>
      <c r="D24" s="4" t="n">
        <v>16</v>
      </c>
      <c r="E24" s="4" t="n">
        <v>9</v>
      </c>
      <c r="F24" s="4" t="n">
        <v>27</v>
      </c>
      <c r="G24" s="4" t="n"/>
      <c r="H24" s="4" t="n">
        <v>33.3</v>
      </c>
      <c r="I24" s="4" t="n">
        <v>0</v>
      </c>
      <c r="J24" s="4" t="n">
        <v>0</v>
      </c>
      <c r="K24" s="2">
        <f>IF(OR(E24="",D24=""),"",E24/D24)</f>
        <v/>
      </c>
      <c r="L24" s="2">
        <f>IF(OR(F24="",G24="",D24=""),"",F24*G24/D24)</f>
        <v/>
      </c>
      <c r="M24" s="2">
        <f>IFERROR(IF(K24="","",(K24-MIN($K$2:$K$127))/(MAX($K$2:$K$127)-MIN($K$2:$K$127))),"")</f>
        <v/>
      </c>
      <c r="N24" s="2">
        <f>IFERROR(IF(L24="","",(L24-MIN($L$2:$L$127))/(MAX($L$2:$L$127)-MIN($L$2:$L$127))),"")</f>
        <v/>
      </c>
      <c r="O24" s="2">
        <f>IFERROR(IF(H24="","",(MAX($H$2:$H$127)-H24)/(MAX($H$2:$H$127)-MIN($H$2:$H$127))),"")</f>
        <v/>
      </c>
      <c r="P24" s="2">
        <f>Ww_citizen*IF(I24="",0,I24)+Ww_farm*IF(J24="",0,J24)+Ww_service*IF(M24="",0,M24)+Ww_space*IF(N24="",0,N24)+Ww_nav*IF(O24="",0,O24)</f>
        <v/>
      </c>
      <c r="Q24" s="2">
        <f>IFERROR(ROUND(100*(P24-MIN($P$2:$P$127))/(MAX($P$2:$P$127)-MIN($P$2:$P$127)),1),"")</f>
        <v/>
      </c>
      <c r="R24" t="inlineStr">
        <is>
          <t>missing_beam_m</t>
        </is>
      </c>
    </row>
    <row r="25">
      <c r="A25" s="2">
        <f>IF(Q25="","",RANK(Q25,$Q$2:$Q$127))</f>
        <v/>
      </c>
      <c r="B25" t="inlineStr">
        <is>
          <t>Ocean Spray</t>
        </is>
      </c>
      <c r="C25" t="inlineStr">
        <is>
          <t>Catamaran</t>
        </is>
      </c>
      <c r="D25" s="4" t="n">
        <v>16</v>
      </c>
      <c r="E25" s="4" t="n">
        <v>2</v>
      </c>
      <c r="F25" s="4" t="n">
        <v>34.4</v>
      </c>
      <c r="G25" s="4" t="n">
        <v>13</v>
      </c>
      <c r="H25" s="4" t="n">
        <v>33.6</v>
      </c>
      <c r="I25" s="4" t="n">
        <v>0</v>
      </c>
      <c r="J25" s="4" t="n">
        <v>0</v>
      </c>
      <c r="K25" s="2">
        <f>IF(OR(E25="",D25=""),"",E25/D25)</f>
        <v/>
      </c>
      <c r="L25" s="2">
        <f>IF(OR(F25="",G25="",D25=""),"",F25*G25/D25)</f>
        <v/>
      </c>
      <c r="M25" s="2">
        <f>IFERROR(IF(K25="","",(K25-MIN($K$2:$K$127))/(MAX($K$2:$K$127)-MIN($K$2:$K$127))),"")</f>
        <v/>
      </c>
      <c r="N25" s="2">
        <f>IFERROR(IF(L25="","",(L25-MIN($L$2:$L$127))/(MAX($L$2:$L$127)-MIN($L$2:$L$127))),"")</f>
        <v/>
      </c>
      <c r="O25" s="2">
        <f>IFERROR(IF(H25="","",(MAX($H$2:$H$127)-H25)/(MAX($H$2:$H$127)-MIN($H$2:$H$127))),"")</f>
        <v/>
      </c>
      <c r="P25" s="2">
        <f>Ww_citizen*IF(I25="",0,I25)+Ww_farm*IF(J25="",0,J25)+Ww_service*IF(M25="",0,M25)+Ww_space*IF(N25="",0,N25)+Ww_nav*IF(O25="",0,O25)</f>
        <v/>
      </c>
      <c r="Q25" s="2">
        <f>IFERROR(ROUND(100*(P25-MIN($P$2:$P$127))/(MAX($P$2:$P$127)-MIN($P$2:$P$127)),1),"")</f>
        <v/>
      </c>
      <c r="R25" t="inlineStr"/>
    </row>
    <row r="26">
      <c r="A26" s="2">
        <f>IF(Q26="","",RANK(Q26,$Q$2:$Q$127))</f>
        <v/>
      </c>
      <c r="B26" t="inlineStr">
        <is>
          <t>Hermes</t>
        </is>
      </c>
      <c r="C26" t="inlineStr">
        <is>
          <t>Catamaran</t>
        </is>
      </c>
      <c r="D26" s="4" t="n">
        <v>20</v>
      </c>
      <c r="E26" s="4" t="n">
        <v>15</v>
      </c>
      <c r="F26" s="4" t="n">
        <v>50</v>
      </c>
      <c r="G26" s="4" t="n">
        <v>14</v>
      </c>
      <c r="H26" s="4" t="n"/>
      <c r="I26" s="4" t="n">
        <v>0</v>
      </c>
      <c r="J26" s="4" t="n">
        <v>0</v>
      </c>
      <c r="K26" s="2">
        <f>IF(OR(E26="",D26=""),"",E26/D26)</f>
        <v/>
      </c>
      <c r="L26" s="2">
        <f>IF(OR(F26="",G26="",D26=""),"",F26*G26/D26)</f>
        <v/>
      </c>
      <c r="M26" s="2">
        <f>IFERROR(IF(K26="","",(K26-MIN($K$2:$K$127))/(MAX($K$2:$K$127)-MIN($K$2:$K$127))),"")</f>
        <v/>
      </c>
      <c r="N26" s="2">
        <f>IFERROR(IF(L26="","",(L26-MIN($L$2:$L$127))/(MAX($L$2:$L$127)-MIN($L$2:$L$127))),"")</f>
        <v/>
      </c>
      <c r="O26" s="2">
        <f>IFERROR(IF(H26="","",(MAX($H$2:$H$127)-H26)/(MAX($H$2:$H$127)-MIN($H$2:$H$127))),"")</f>
        <v/>
      </c>
      <c r="P26" s="2">
        <f>Ww_citizen*IF(I26="",0,I26)+Ww_farm*IF(J26="",0,J26)+Ww_service*IF(M26="",0,M26)+Ww_space*IF(N26="",0,N26)+Ww_nav*IF(O26="",0,O26)</f>
        <v/>
      </c>
      <c r="Q26" s="2">
        <f>IFERROR(ROUND(100*(P26-MIN($P$2:$P$127))/(MAX($P$2:$P$127)-MIN($P$2:$P$127)),1),"")</f>
        <v/>
      </c>
      <c r="R26" t="inlineStr">
        <is>
          <t>missing_price_per_day</t>
        </is>
      </c>
    </row>
    <row r="27">
      <c r="A27" s="2">
        <f>IF(Q27="","",RANK(Q27,$Q$2:$Q$127))</f>
        <v/>
      </c>
      <c r="B27" t="inlineStr">
        <is>
          <t>Galaxy</t>
        </is>
      </c>
      <c r="C27" t="inlineStr">
        <is>
          <t>Yacht</t>
        </is>
      </c>
      <c r="D27" s="4" t="n">
        <v>16</v>
      </c>
      <c r="E27" s="4" t="n">
        <v>9</v>
      </c>
      <c r="F27" s="4" t="n">
        <v>35</v>
      </c>
      <c r="G27" s="4" t="n"/>
      <c r="H27" s="4" t="n">
        <v>33.9</v>
      </c>
      <c r="I27" s="4" t="n">
        <v>0</v>
      </c>
      <c r="J27" s="4" t="n">
        <v>0</v>
      </c>
      <c r="K27" s="2">
        <f>IF(OR(E27="",D27=""),"",E27/D27)</f>
        <v/>
      </c>
      <c r="L27" s="2">
        <f>IF(OR(F27="",G27="",D27=""),"",F27*G27/D27)</f>
        <v/>
      </c>
      <c r="M27" s="2">
        <f>IFERROR(IF(K27="","",(K27-MIN($K$2:$K$127))/(MAX($K$2:$K$127)-MIN($K$2:$K$127))),"")</f>
        <v/>
      </c>
      <c r="N27" s="2">
        <f>IFERROR(IF(L27="","",(L27-MIN($L$2:$L$127))/(MAX($L$2:$L$127)-MIN($L$2:$L$127))),"")</f>
        <v/>
      </c>
      <c r="O27" s="2">
        <f>IFERROR(IF(H27="","",(MAX($H$2:$H$127)-H27)/(MAX($H$2:$H$127)-MIN($H$2:$H$127))),"")</f>
        <v/>
      </c>
      <c r="P27" s="2">
        <f>Ww_citizen*IF(I27="",0,I27)+Ww_farm*IF(J27="",0,J27)+Ww_service*IF(M27="",0,M27)+Ww_space*IF(N27="",0,N27)+Ww_nav*IF(O27="",0,O27)</f>
        <v/>
      </c>
      <c r="Q27" s="2">
        <f>IFERROR(ROUND(100*(P27-MIN($P$2:$P$127))/(MAX($P$2:$P$127)-MIN($P$2:$P$127)),1),"")</f>
        <v/>
      </c>
      <c r="R27" t="inlineStr">
        <is>
          <t>length_ft_m_mismatch, missing_beam_m</t>
        </is>
      </c>
    </row>
    <row r="28">
      <c r="A28" s="2">
        <f>IF(Q28="","",RANK(Q28,$Q$2:$Q$127))</f>
        <v/>
      </c>
      <c r="B28" t="inlineStr">
        <is>
          <t>Nemo Ii</t>
        </is>
      </c>
      <c r="C28" t="inlineStr">
        <is>
          <t>Catamaran</t>
        </is>
      </c>
      <c r="D28" s="4" t="n">
        <v>14</v>
      </c>
      <c r="E28" s="4" t="n">
        <v>8</v>
      </c>
      <c r="F28" s="4" t="n">
        <v>22</v>
      </c>
      <c r="G28" s="4" t="n">
        <v>10</v>
      </c>
      <c r="H28" s="4" t="n">
        <v>37</v>
      </c>
      <c r="I28" s="4" t="n">
        <v>0</v>
      </c>
      <c r="J28" s="4" t="n">
        <v>0</v>
      </c>
      <c r="K28" s="2">
        <f>IF(OR(E28="",D28=""),"",E28/D28)</f>
        <v/>
      </c>
      <c r="L28" s="2">
        <f>IF(OR(F28="",G28="",D28=""),"",F28*G28/D28)</f>
        <v/>
      </c>
      <c r="M28" s="2">
        <f>IFERROR(IF(K28="","",(K28-MIN($K$2:$K$127))/(MAX($K$2:$K$127)-MIN($K$2:$K$127))),"")</f>
        <v/>
      </c>
      <c r="N28" s="2">
        <f>IFERROR(IF(L28="","",(L28-MIN($L$2:$L$127))/(MAX($L$2:$L$127)-MIN($L$2:$L$127))),"")</f>
        <v/>
      </c>
      <c r="O28" s="2">
        <f>IFERROR(IF(H28="","",(MAX($H$2:$H$127)-H28)/(MAX($H$2:$H$127)-MIN($H$2:$H$127))),"")</f>
        <v/>
      </c>
      <c r="P28" s="2">
        <f>Ww_citizen*IF(I28="",0,I28)+Ww_farm*IF(J28="",0,J28)+Ww_service*IF(M28="",0,M28)+Ww_space*IF(N28="",0,N28)+Ww_nav*IF(O28="",0,O28)</f>
        <v/>
      </c>
      <c r="Q28" s="2">
        <f>IFERROR(ROUND(100*(P28-MIN($P$2:$P$127))/(MAX($P$2:$P$127)-MIN($P$2:$P$127)),1),"")</f>
        <v/>
      </c>
      <c r="R28" t="inlineStr"/>
    </row>
    <row r="29">
      <c r="A29" s="2">
        <f>IF(Q29="","",RANK(Q29,$Q$2:$Q$127))</f>
        <v/>
      </c>
      <c r="B29" t="inlineStr">
        <is>
          <t>Aida Maria</t>
        </is>
      </c>
      <c r="C29" t="inlineStr">
        <is>
          <t>Yacht</t>
        </is>
      </c>
      <c r="D29" s="4" t="n">
        <v>16</v>
      </c>
      <c r="E29" s="4" t="n">
        <v>6</v>
      </c>
      <c r="F29" s="4" t="n">
        <v>21.3</v>
      </c>
      <c r="G29" s="4" t="n">
        <v>7</v>
      </c>
      <c r="H29" s="4" t="n">
        <v>33.1</v>
      </c>
      <c r="I29" s="4" t="n">
        <v>0</v>
      </c>
      <c r="J29" s="4" t="n">
        <v>0</v>
      </c>
      <c r="K29" s="2">
        <f>IF(OR(E29="",D29=""),"",E29/D29)</f>
        <v/>
      </c>
      <c r="L29" s="2">
        <f>IF(OR(F29="",G29="",D29=""),"",F29*G29/D29)</f>
        <v/>
      </c>
      <c r="M29" s="2">
        <f>IFERROR(IF(K29="","",(K29-MIN($K$2:$K$127))/(MAX($K$2:$K$127)-MIN($K$2:$K$127))),"")</f>
        <v/>
      </c>
      <c r="N29" s="2">
        <f>IFERROR(IF(L29="","",(L29-MIN($L$2:$L$127))/(MAX($L$2:$L$127)-MIN($L$2:$L$127))),"")</f>
        <v/>
      </c>
      <c r="O29" s="2">
        <f>IFERROR(IF(H29="","",(MAX($H$2:$H$127)-H29)/(MAX($H$2:$H$127)-MIN($H$2:$H$127))),"")</f>
        <v/>
      </c>
      <c r="P29" s="2">
        <f>Ww_citizen*IF(I29="",0,I29)+Ww_farm*IF(J29="",0,J29)+Ww_service*IF(M29="",0,M29)+Ww_space*IF(N29="",0,N29)+Ww_nav*IF(O29="",0,O29)</f>
        <v/>
      </c>
      <c r="Q29" s="2">
        <f>IFERROR(ROUND(100*(P29-MIN($P$2:$P$127))/(MAX($P$2:$P$127)-MIN($P$2:$P$127)),1),"")</f>
        <v/>
      </c>
      <c r="R29" t="inlineStr"/>
    </row>
    <row r="30">
      <c r="A30" s="2">
        <f>IF(Q30="","",RANK(Q30,$Q$2:$Q$127))</f>
        <v/>
      </c>
      <c r="B30" t="inlineStr">
        <is>
          <t>Tip Top Iv</t>
        </is>
      </c>
      <c r="C30" t="inlineStr">
        <is>
          <t>Yacht</t>
        </is>
      </c>
      <c r="D30" s="4" t="n">
        <v>16</v>
      </c>
      <c r="E30" s="4" t="n">
        <v>9</v>
      </c>
      <c r="F30" s="4" t="n">
        <v>38.1</v>
      </c>
      <c r="G30" s="4" t="n">
        <v>6</v>
      </c>
      <c r="H30" s="4" t="n">
        <v>36.9</v>
      </c>
      <c r="I30" s="4" t="n">
        <v>0</v>
      </c>
      <c r="J30" s="4" t="n">
        <v>0</v>
      </c>
      <c r="K30" s="2">
        <f>IF(OR(E30="",D30=""),"",E30/D30)</f>
        <v/>
      </c>
      <c r="L30" s="2">
        <f>IF(OR(F30="",G30="",D30=""),"",F30*G30/D30)</f>
        <v/>
      </c>
      <c r="M30" s="2">
        <f>IFERROR(IF(K30="","",(K30-MIN($K$2:$K$127))/(MAX($K$2:$K$127)-MIN($K$2:$K$127))),"")</f>
        <v/>
      </c>
      <c r="N30" s="2">
        <f>IFERROR(IF(L30="","",(L30-MIN($L$2:$L$127))/(MAX($L$2:$L$127)-MIN($L$2:$L$127))),"")</f>
        <v/>
      </c>
      <c r="O30" s="2">
        <f>IFERROR(IF(H30="","",(MAX($H$2:$H$127)-H30)/(MAX($H$2:$H$127)-MIN($H$2:$H$127))),"")</f>
        <v/>
      </c>
      <c r="P30" s="2">
        <f>Ww_citizen*IF(I30="",0,I30)+Ww_farm*IF(J30="",0,J30)+Ww_service*IF(M30="",0,M30)+Ww_space*IF(N30="",0,N30)+Ww_nav*IF(O30="",0,O30)</f>
        <v/>
      </c>
      <c r="Q30" s="2">
        <f>IFERROR(ROUND(100*(P30-MIN($P$2:$P$127))/(MAX($P$2:$P$127)-MIN($P$2:$P$127)),1),"")</f>
        <v/>
      </c>
      <c r="R30" t="inlineStr"/>
    </row>
    <row r="31">
      <c r="A31" s="2">
        <f>IF(Q31="","",RANK(Q31,$Q$2:$Q$127))</f>
        <v/>
      </c>
      <c r="B31" t="inlineStr">
        <is>
          <t>Solaris</t>
        </is>
      </c>
      <c r="C31" t="inlineStr">
        <is>
          <t>Yacht</t>
        </is>
      </c>
      <c r="D31" s="4" t="n">
        <v>16</v>
      </c>
      <c r="E31" s="4" t="n">
        <v>8</v>
      </c>
      <c r="F31" s="4" t="n">
        <v>36</v>
      </c>
      <c r="G31" s="4" t="n">
        <v>9</v>
      </c>
      <c r="H31" s="4" t="n">
        <v>37.5</v>
      </c>
      <c r="I31" s="4" t="n">
        <v>0</v>
      </c>
      <c r="J31" s="4" t="n">
        <v>0</v>
      </c>
      <c r="K31" s="2">
        <f>IF(OR(E31="",D31=""),"",E31/D31)</f>
        <v/>
      </c>
      <c r="L31" s="2">
        <f>IF(OR(F31="",G31="",D31=""),"",F31*G31/D31)</f>
        <v/>
      </c>
      <c r="M31" s="2">
        <f>IFERROR(IF(K31="","",(K31-MIN($K$2:$K$127))/(MAX($K$2:$K$127)-MIN($K$2:$K$127))),"")</f>
        <v/>
      </c>
      <c r="N31" s="2">
        <f>IFERROR(IF(L31="","",(L31-MIN($L$2:$L$127))/(MAX($L$2:$L$127)-MIN($L$2:$L$127))),"")</f>
        <v/>
      </c>
      <c r="O31" s="2">
        <f>IFERROR(IF(H31="","",(MAX($H$2:$H$127)-H31)/(MAX($H$2:$H$127)-MIN($H$2:$H$127))),"")</f>
        <v/>
      </c>
      <c r="P31" s="2">
        <f>Ww_citizen*IF(I31="",0,I31)+Ww_farm*IF(J31="",0,J31)+Ww_service*IF(M31="",0,M31)+Ww_space*IF(N31="",0,N31)+Ww_nav*IF(O31="",0,O31)</f>
        <v/>
      </c>
      <c r="Q31" s="2">
        <f>IFERROR(ROUND(100*(P31-MIN($P$2:$P$127))/(MAX($P$2:$P$127)-MIN($P$2:$P$127)),1),"")</f>
        <v/>
      </c>
      <c r="R31" t="inlineStr">
        <is>
          <t>no_engine_data</t>
        </is>
      </c>
    </row>
    <row r="32">
      <c r="A32" s="2">
        <f>IF(Q32="","",RANK(Q32,$Q$2:$Q$127))</f>
        <v/>
      </c>
      <c r="B32" t="inlineStr">
        <is>
          <t>Nemo Iii</t>
        </is>
      </c>
      <c r="C32" t="inlineStr">
        <is>
          <t>Catamaran</t>
        </is>
      </c>
      <c r="D32" s="4" t="n">
        <v>16</v>
      </c>
      <c r="E32" s="4" t="n">
        <v>8</v>
      </c>
      <c r="F32" s="4" t="n">
        <v>23</v>
      </c>
      <c r="G32" s="4" t="n"/>
      <c r="H32" s="4" t="n">
        <v>33.7</v>
      </c>
      <c r="I32" s="4" t="n">
        <v>0</v>
      </c>
      <c r="J32" s="4" t="n">
        <v>0</v>
      </c>
      <c r="K32" s="2">
        <f>IF(OR(E32="",D32=""),"",E32/D32)</f>
        <v/>
      </c>
      <c r="L32" s="2">
        <f>IF(OR(F32="",G32="",D32=""),"",F32*G32/D32)</f>
        <v/>
      </c>
      <c r="M32" s="2">
        <f>IFERROR(IF(K32="","",(K32-MIN($K$2:$K$127))/(MAX($K$2:$K$127)-MIN($K$2:$K$127))),"")</f>
        <v/>
      </c>
      <c r="N32" s="2">
        <f>IFERROR(IF(L32="","",(L32-MIN($L$2:$L$127))/(MAX($L$2:$L$127)-MIN($L$2:$L$127))),"")</f>
        <v/>
      </c>
      <c r="O32" s="2">
        <f>IFERROR(IF(H32="","",(MAX($H$2:$H$127)-H32)/(MAX($H$2:$H$127)-MIN($H$2:$H$127))),"")</f>
        <v/>
      </c>
      <c r="P32" s="2">
        <f>Ww_citizen*IF(I32="",0,I32)+Ww_farm*IF(J32="",0,J32)+Ww_service*IF(M32="",0,M32)+Ww_space*IF(N32="",0,N32)+Ww_nav*IF(O32="",0,O32)</f>
        <v/>
      </c>
      <c r="Q32" s="2">
        <f>IFERROR(ROUND(100*(P32-MIN($P$2:$P$127))/(MAX($P$2:$P$127)-MIN($P$2:$P$127)),1),"")</f>
        <v/>
      </c>
      <c r="R32" t="inlineStr">
        <is>
          <t>missing_beam_m</t>
        </is>
      </c>
    </row>
    <row r="33">
      <c r="A33" s="2">
        <f>IF(Q33="","",RANK(Q33,$Q$2:$Q$127))</f>
        <v/>
      </c>
      <c r="B33" t="inlineStr">
        <is>
          <t>Natural Paradise</t>
        </is>
      </c>
      <c r="C33" t="inlineStr">
        <is>
          <t>Yacht</t>
        </is>
      </c>
      <c r="D33" s="4" t="n">
        <v>16</v>
      </c>
      <c r="E33" s="4" t="n">
        <v>10</v>
      </c>
      <c r="F33" s="4" t="n">
        <v>34</v>
      </c>
      <c r="G33" s="4" t="n">
        <v>8</v>
      </c>
      <c r="H33" s="4" t="n">
        <v>38.9</v>
      </c>
      <c r="I33" s="4" t="n">
        <v>0</v>
      </c>
      <c r="J33" s="4" t="n">
        <v>0</v>
      </c>
      <c r="K33" s="2">
        <f>IF(OR(E33="",D33=""),"",E33/D33)</f>
        <v/>
      </c>
      <c r="L33" s="2">
        <f>IF(OR(F33="",G33="",D33=""),"",F33*G33/D33)</f>
        <v/>
      </c>
      <c r="M33" s="2">
        <f>IFERROR(IF(K33="","",(K33-MIN($K$2:$K$127))/(MAX($K$2:$K$127)-MIN($K$2:$K$127))),"")</f>
        <v/>
      </c>
      <c r="N33" s="2">
        <f>IFERROR(IF(L33="","",(L33-MIN($L$2:$L$127))/(MAX($L$2:$L$127)-MIN($L$2:$L$127))),"")</f>
        <v/>
      </c>
      <c r="O33" s="2">
        <f>IFERROR(IF(H33="","",(MAX($H$2:$H$127)-H33)/(MAX($H$2:$H$127)-MIN($H$2:$H$127))),"")</f>
        <v/>
      </c>
      <c r="P33" s="2">
        <f>Ww_citizen*IF(I33="",0,I33)+Ww_farm*IF(J33="",0,J33)+Ww_service*IF(M33="",0,M33)+Ww_space*IF(N33="",0,N33)+Ww_nav*IF(O33="",0,O33)</f>
        <v/>
      </c>
      <c r="Q33" s="2">
        <f>IFERROR(ROUND(100*(P33-MIN($P$2:$P$127))/(MAX($P$2:$P$127)-MIN($P$2:$P$127)),1),"")</f>
        <v/>
      </c>
      <c r="R33" t="inlineStr"/>
    </row>
    <row r="34">
      <c r="A34" s="2">
        <f>IF(Q34="","",RANK(Q34,$Q$2:$Q$127))</f>
        <v/>
      </c>
      <c r="B34" t="inlineStr">
        <is>
          <t>Stella Maris</t>
        </is>
      </c>
      <c r="C34" t="inlineStr">
        <is>
          <t>Yacht</t>
        </is>
      </c>
      <c r="D34" s="4" t="n">
        <v>12</v>
      </c>
      <c r="E34" s="4" t="n">
        <v>10</v>
      </c>
      <c r="F34" s="4" t="n">
        <v>38</v>
      </c>
      <c r="G34" s="4" t="n">
        <v>8</v>
      </c>
      <c r="H34" s="4" t="n"/>
      <c r="I34" s="4" t="n">
        <v>0</v>
      </c>
      <c r="J34" s="4" t="n">
        <v>0</v>
      </c>
      <c r="K34" s="2">
        <f>IF(OR(E34="",D34=""),"",E34/D34)</f>
        <v/>
      </c>
      <c r="L34" s="2">
        <f>IF(OR(F34="",G34="",D34=""),"",F34*G34/D34)</f>
        <v/>
      </c>
      <c r="M34" s="2">
        <f>IFERROR(IF(K34="","",(K34-MIN($K$2:$K$127))/(MAX($K$2:$K$127)-MIN($K$2:$K$127))),"")</f>
        <v/>
      </c>
      <c r="N34" s="2">
        <f>IFERROR(IF(L34="","",(L34-MIN($L$2:$L$127))/(MAX($L$2:$L$127)-MIN($L$2:$L$127))),"")</f>
        <v/>
      </c>
      <c r="O34" s="2">
        <f>IFERROR(IF(H34="","",(MAX($H$2:$H$127)-H34)/(MAX($H$2:$H$127)-MIN($H$2:$H$127))),"")</f>
        <v/>
      </c>
      <c r="P34" s="2">
        <f>Ww_citizen*IF(I34="",0,I34)+Ww_farm*IF(J34="",0,J34)+Ww_service*IF(M34="",0,M34)+Ww_space*IF(N34="",0,N34)+Ww_nav*IF(O34="",0,O34)</f>
        <v/>
      </c>
      <c r="Q34" s="2">
        <f>IFERROR(ROUND(100*(P34-MIN($P$2:$P$127))/(MAX($P$2:$P$127)-MIN($P$2:$P$127)),1),"")</f>
        <v/>
      </c>
      <c r="R34" t="inlineStr">
        <is>
          <t>missing_price_per_day</t>
        </is>
      </c>
    </row>
    <row r="35">
      <c r="A35" s="2">
        <f>IF(Q35="","",RANK(Q35,$Q$2:$Q$127))</f>
        <v/>
      </c>
      <c r="B35" t="inlineStr">
        <is>
          <t>Carina</t>
        </is>
      </c>
      <c r="C35" t="inlineStr">
        <is>
          <t>Monohull</t>
        </is>
      </c>
      <c r="D35" s="4" t="n">
        <v>16</v>
      </c>
      <c r="E35" s="4" t="n"/>
      <c r="F35" s="4" t="n"/>
      <c r="G35" s="4" t="n"/>
      <c r="H35" s="4" t="n">
        <v>27.7</v>
      </c>
      <c r="I35" s="4" t="n">
        <v>0</v>
      </c>
      <c r="J35" s="4" t="n">
        <v>0</v>
      </c>
      <c r="K35" s="2">
        <f>IF(OR(E35="",D35=""),"",E35/D35)</f>
        <v/>
      </c>
      <c r="L35" s="2">
        <f>IF(OR(F35="",G35="",D35=""),"",F35*G35/D35)</f>
        <v/>
      </c>
      <c r="M35" s="2">
        <f>IFERROR(IF(K35="","",(K35-MIN($K$2:$K$127))/(MAX($K$2:$K$127)-MIN($K$2:$K$127))),"")</f>
        <v/>
      </c>
      <c r="N35" s="2">
        <f>IFERROR(IF(L35="","",(L35-MIN($L$2:$L$127))/(MAX($L$2:$L$127)-MIN($L$2:$L$127))),"")</f>
        <v/>
      </c>
      <c r="O35" s="2">
        <f>IFERROR(IF(H35="","",(MAX($H$2:$H$127)-H35)/(MAX($H$2:$H$127)-MIN($H$2:$H$127))),"")</f>
        <v/>
      </c>
      <c r="P35" s="2">
        <f>Ww_citizen*IF(I35="",0,I35)+Ww_farm*IF(J35="",0,J35)+Ww_service*IF(M35="",0,M35)+Ww_space*IF(N35="",0,N35)+Ww_nav*IF(O35="",0,O35)</f>
        <v/>
      </c>
      <c r="Q35" s="2">
        <f>IFERROR(ROUND(100*(P35-MIN($P$2:$P$127))/(MAX($P$2:$P$127)-MIN($P$2:$P$127)),1),"")</f>
        <v/>
      </c>
      <c r="R35" t="inlineStr">
        <is>
          <t>no_engine_data, missing_length_m, missing_beam_m, missing_speed_kn, missing_crew_count, missing_price_per_day</t>
        </is>
      </c>
    </row>
    <row r="36">
      <c r="A36" s="2">
        <f>IF(Q36="","",RANK(Q36,$Q$2:$Q$127))</f>
        <v/>
      </c>
      <c r="B36" t="inlineStr">
        <is>
          <t>Aqua Diving</t>
        </is>
      </c>
      <c r="C36" t="inlineStr">
        <is>
          <t>Yacht</t>
        </is>
      </c>
      <c r="D36" s="4" t="n">
        <v>16</v>
      </c>
      <c r="E36" s="4" t="n">
        <v>7</v>
      </c>
      <c r="F36" s="4" t="n">
        <v>26</v>
      </c>
      <c r="G36" s="4" t="n">
        <v>5</v>
      </c>
      <c r="H36" s="4" t="n">
        <v>34.6</v>
      </c>
      <c r="I36" s="4" t="n">
        <v>0</v>
      </c>
      <c r="J36" s="4" t="n">
        <v>0</v>
      </c>
      <c r="K36" s="2">
        <f>IF(OR(E36="",D36=""),"",E36/D36)</f>
        <v/>
      </c>
      <c r="L36" s="2">
        <f>IF(OR(F36="",G36="",D36=""),"",F36*G36/D36)</f>
        <v/>
      </c>
      <c r="M36" s="2">
        <f>IFERROR(IF(K36="","",(K36-MIN($K$2:$K$127))/(MAX($K$2:$K$127)-MIN($K$2:$K$127))),"")</f>
        <v/>
      </c>
      <c r="N36" s="2">
        <f>IFERROR(IF(L36="","",(L36-MIN($L$2:$L$127))/(MAX($L$2:$L$127)-MIN($L$2:$L$127))),"")</f>
        <v/>
      </c>
      <c r="O36" s="2">
        <f>IFERROR(IF(H36="","",(MAX($H$2:$H$127)-H36)/(MAX($H$2:$H$127)-MIN($H$2:$H$127))),"")</f>
        <v/>
      </c>
      <c r="P36" s="2">
        <f>Ww_citizen*IF(I36="",0,I36)+Ww_farm*IF(J36="",0,J36)+Ww_service*IF(M36="",0,M36)+Ww_space*IF(N36="",0,N36)+Ww_nav*IF(O36="",0,O36)</f>
        <v/>
      </c>
      <c r="Q36" s="2">
        <f>IFERROR(ROUND(100*(P36-MIN($P$2:$P$127))/(MAX($P$2:$P$127)-MIN($P$2:$P$127)),1),"")</f>
        <v/>
      </c>
      <c r="R36" t="inlineStr"/>
    </row>
    <row r="37">
      <c r="A37" s="2">
        <f>IF(Q37="","",RANK(Q37,$Q$2:$Q$127))</f>
        <v/>
      </c>
      <c r="B37" t="inlineStr">
        <is>
          <t>Tribute</t>
        </is>
      </c>
      <c r="C37" t="inlineStr">
        <is>
          <t>Yacht</t>
        </is>
      </c>
      <c r="D37" s="4" t="n">
        <v>16</v>
      </c>
      <c r="E37" s="4" t="n">
        <v>14</v>
      </c>
      <c r="F37" s="4" t="n">
        <v>43</v>
      </c>
      <c r="G37" s="4" t="n">
        <v>8</v>
      </c>
      <c r="H37" s="4" t="n"/>
      <c r="I37" s="4" t="n">
        <v>0</v>
      </c>
      <c r="J37" s="4" t="n">
        <v>0</v>
      </c>
      <c r="K37" s="2">
        <f>IF(OR(E37="",D37=""),"",E37/D37)</f>
        <v/>
      </c>
      <c r="L37" s="2">
        <f>IF(OR(F37="",G37="",D37=""),"",F37*G37/D37)</f>
        <v/>
      </c>
      <c r="M37" s="2">
        <f>IFERROR(IF(K37="","",(K37-MIN($K$2:$K$127))/(MAX($K$2:$K$127)-MIN($K$2:$K$127))),"")</f>
        <v/>
      </c>
      <c r="N37" s="2">
        <f>IFERROR(IF(L37="","",(L37-MIN($L$2:$L$127))/(MAX($L$2:$L$127)-MIN($L$2:$L$127))),"")</f>
        <v/>
      </c>
      <c r="O37" s="2">
        <f>IFERROR(IF(H37="","",(MAX($H$2:$H$127)-H37)/(MAX($H$2:$H$127)-MIN($H$2:$H$127))),"")</f>
        <v/>
      </c>
      <c r="P37" s="2">
        <f>Ww_citizen*IF(I37="",0,I37)+Ww_farm*IF(J37="",0,J37)+Ww_service*IF(M37="",0,M37)+Ww_space*IF(N37="",0,N37)+Ww_nav*IF(O37="",0,O37)</f>
        <v/>
      </c>
      <c r="Q37" s="2">
        <f>IFERROR(ROUND(100*(P37-MIN($P$2:$P$127))/(MAX($P$2:$P$127)-MIN($P$2:$P$127)),1),"")</f>
        <v/>
      </c>
      <c r="R37" t="inlineStr">
        <is>
          <t>missing_price_per_day</t>
        </is>
      </c>
    </row>
    <row r="38">
      <c r="A38" s="2">
        <f>IF(Q38="","",RANK(Q38,$Q$2:$Q$127))</f>
        <v/>
      </c>
      <c r="B38" t="inlineStr">
        <is>
          <t>Cormorant</t>
        </is>
      </c>
      <c r="C38" t="inlineStr">
        <is>
          <t>Motor Catamaran</t>
        </is>
      </c>
      <c r="D38" s="4" t="n">
        <v>16</v>
      </c>
      <c r="E38" s="4" t="n"/>
      <c r="F38" s="4" t="n">
        <v>33</v>
      </c>
      <c r="G38" s="4" t="n">
        <v>12</v>
      </c>
      <c r="H38" s="4" t="n">
        <v>33.2</v>
      </c>
      <c r="I38" s="4" t="n">
        <v>0</v>
      </c>
      <c r="J38" s="4" t="n">
        <v>0</v>
      </c>
      <c r="K38" s="2">
        <f>IF(OR(E38="",D38=""),"",E38/D38)</f>
        <v/>
      </c>
      <c r="L38" s="2">
        <f>IF(OR(F38="",G38="",D38=""),"",F38*G38/D38)</f>
        <v/>
      </c>
      <c r="M38" s="2">
        <f>IFERROR(IF(K38="","",(K38-MIN($K$2:$K$127))/(MAX($K$2:$K$127)-MIN($K$2:$K$127))),"")</f>
        <v/>
      </c>
      <c r="N38" s="2">
        <f>IFERROR(IF(L38="","",(L38-MIN($L$2:$L$127))/(MAX($L$2:$L$127)-MIN($L$2:$L$127))),"")</f>
        <v/>
      </c>
      <c r="O38" s="2">
        <f>IFERROR(IF(H38="","",(MAX($H$2:$H$127)-H38)/(MAX($H$2:$H$127)-MIN($H$2:$H$127))),"")</f>
        <v/>
      </c>
      <c r="P38" s="2">
        <f>Ww_citizen*IF(I38="",0,I38)+Ww_farm*IF(J38="",0,J38)+Ww_service*IF(M38="",0,M38)+Ww_space*IF(N38="",0,N38)+Ww_nav*IF(O38="",0,O38)</f>
        <v/>
      </c>
      <c r="Q38" s="2">
        <f>IFERROR(ROUND(100*(P38-MIN($P$2:$P$127))/(MAX($P$2:$P$127)-MIN($P$2:$P$127)),1),"")</f>
        <v/>
      </c>
      <c r="R38" t="inlineStr">
        <is>
          <t>no_engine_data, missing_crew_count, missing_price_per_day</t>
        </is>
      </c>
    </row>
    <row r="39">
      <c r="A39" s="2">
        <f>IF(Q39="","",RANK(Q39,$Q$2:$Q$127))</f>
        <v/>
      </c>
      <c r="B39" t="inlineStr">
        <is>
          <t>Eden</t>
        </is>
      </c>
      <c r="C39" t="inlineStr">
        <is>
          <t>Yacht</t>
        </is>
      </c>
      <c r="D39" s="4" t="n">
        <v>16</v>
      </c>
      <c r="E39" s="4" t="n">
        <v>1</v>
      </c>
      <c r="F39" s="4" t="n">
        <v>24</v>
      </c>
      <c r="G39" s="4" t="n">
        <v>6</v>
      </c>
      <c r="H39" s="4" t="n">
        <v>30.3</v>
      </c>
      <c r="I39" s="4" t="n">
        <v>0</v>
      </c>
      <c r="J39" s="4" t="n">
        <v>0</v>
      </c>
      <c r="K39" s="2">
        <f>IF(OR(E39="",D39=""),"",E39/D39)</f>
        <v/>
      </c>
      <c r="L39" s="2">
        <f>IF(OR(F39="",G39="",D39=""),"",F39*G39/D39)</f>
        <v/>
      </c>
      <c r="M39" s="2">
        <f>IFERROR(IF(K39="","",(K39-MIN($K$2:$K$127))/(MAX($K$2:$K$127)-MIN($K$2:$K$127))),"")</f>
        <v/>
      </c>
      <c r="N39" s="2">
        <f>IFERROR(IF(L39="","",(L39-MIN($L$2:$L$127))/(MAX($L$2:$L$127)-MIN($L$2:$L$127))),"")</f>
        <v/>
      </c>
      <c r="O39" s="2">
        <f>IFERROR(IF(H39="","",(MAX($H$2:$H$127)-H39)/(MAX($H$2:$H$127)-MIN($H$2:$H$127))),"")</f>
        <v/>
      </c>
      <c r="P39" s="2">
        <f>Ww_citizen*IF(I39="",0,I39)+Ww_farm*IF(J39="",0,J39)+Ww_service*IF(M39="",0,M39)+Ww_space*IF(N39="",0,N39)+Ww_nav*IF(O39="",0,O39)</f>
        <v/>
      </c>
      <c r="Q39" s="2">
        <f>IFERROR(ROUND(100*(P39-MIN($P$2:$P$127))/(MAX($P$2:$P$127)-MIN($P$2:$P$127)),1),"")</f>
        <v/>
      </c>
      <c r="R39" t="inlineStr">
        <is>
          <t>length_ft_m_mismatch, no_engine_data</t>
        </is>
      </c>
    </row>
    <row r="40">
      <c r="A40" s="2">
        <f>IF(Q40="","",RANK(Q40,$Q$2:$Q$127))</f>
        <v/>
      </c>
      <c r="B40" t="inlineStr">
        <is>
          <t>Tip Top Ii</t>
        </is>
      </c>
      <c r="C40" t="inlineStr">
        <is>
          <t>Catamaran</t>
        </is>
      </c>
      <c r="D40" s="4" t="n">
        <v>16</v>
      </c>
      <c r="E40" s="4" t="n">
        <v>9</v>
      </c>
      <c r="F40" s="4" t="n">
        <v>31.7</v>
      </c>
      <c r="G40" s="4" t="n">
        <v>12</v>
      </c>
      <c r="H40" s="4" t="n">
        <v>40.5</v>
      </c>
      <c r="I40" s="4" t="n">
        <v>0</v>
      </c>
      <c r="J40" s="4" t="n">
        <v>0</v>
      </c>
      <c r="K40" s="2">
        <f>IF(OR(E40="",D40=""),"",E40/D40)</f>
        <v/>
      </c>
      <c r="L40" s="2">
        <f>IF(OR(F40="",G40="",D40=""),"",F40*G40/D40)</f>
        <v/>
      </c>
      <c r="M40" s="2">
        <f>IFERROR(IF(K40="","",(K40-MIN($K$2:$K$127))/(MAX($K$2:$K$127)-MIN($K$2:$K$127))),"")</f>
        <v/>
      </c>
      <c r="N40" s="2">
        <f>IFERROR(IF(L40="","",(L40-MIN($L$2:$L$127))/(MAX($L$2:$L$127)-MIN($L$2:$L$127))),"")</f>
        <v/>
      </c>
      <c r="O40" s="2">
        <f>IFERROR(IF(H40="","",(MAX($H$2:$H$127)-H40)/(MAX($H$2:$H$127)-MIN($H$2:$H$127))),"")</f>
        <v/>
      </c>
      <c r="P40" s="2">
        <f>Ww_citizen*IF(I40="",0,I40)+Ww_farm*IF(J40="",0,J40)+Ww_service*IF(M40="",0,M40)+Ww_space*IF(N40="",0,N40)+Ww_nav*IF(O40="",0,O40)</f>
        <v/>
      </c>
      <c r="Q40" s="2">
        <f>IFERROR(ROUND(100*(P40-MIN($P$2:$P$127))/(MAX($P$2:$P$127)-MIN($P$2:$P$127)),1),"")</f>
        <v/>
      </c>
      <c r="R40" t="inlineStr"/>
    </row>
    <row r="41">
      <c r="A41" s="2">
        <f>IF(Q41="","",RANK(Q41,$Q$2:$Q$127))</f>
        <v/>
      </c>
      <c r="B41" t="inlineStr">
        <is>
          <t>Flamingo</t>
        </is>
      </c>
      <c r="C41" t="inlineStr">
        <is>
          <t>Monohull</t>
        </is>
      </c>
      <c r="D41" s="4" t="n">
        <v>10</v>
      </c>
      <c r="E41" s="4" t="n"/>
      <c r="F41" s="4" t="n"/>
      <c r="G41" s="4" t="n"/>
      <c r="H41" s="4" t="n">
        <v>28.8</v>
      </c>
      <c r="I41" s="4" t="n">
        <v>0</v>
      </c>
      <c r="J41" s="4" t="n">
        <v>0</v>
      </c>
      <c r="K41" s="2">
        <f>IF(OR(E41="",D41=""),"",E41/D41)</f>
        <v/>
      </c>
      <c r="L41" s="2">
        <f>IF(OR(F41="",G41="",D41=""),"",F41*G41/D41)</f>
        <v/>
      </c>
      <c r="M41" s="2">
        <f>IFERROR(IF(K41="","",(K41-MIN($K$2:$K$127))/(MAX($K$2:$K$127)-MIN($K$2:$K$127))),"")</f>
        <v/>
      </c>
      <c r="N41" s="2">
        <f>IFERROR(IF(L41="","",(L41-MIN($L$2:$L$127))/(MAX($L$2:$L$127)-MIN($L$2:$L$127))),"")</f>
        <v/>
      </c>
      <c r="O41" s="2">
        <f>IFERROR(IF(H41="","",(MAX($H$2:$H$127)-H41)/(MAX($H$2:$H$127)-MIN($H$2:$H$127))),"")</f>
        <v/>
      </c>
      <c r="P41" s="2">
        <f>Ww_citizen*IF(I41="",0,I41)+Ww_farm*IF(J41="",0,J41)+Ww_service*IF(M41="",0,M41)+Ww_space*IF(N41="",0,N41)+Ww_nav*IF(O41="",0,O41)</f>
        <v/>
      </c>
      <c r="Q41" s="2">
        <f>IFERROR(ROUND(100*(P41-MIN($P$2:$P$127))/(MAX($P$2:$P$127)-MIN($P$2:$P$127)),1),"")</f>
        <v/>
      </c>
      <c r="R41" t="inlineStr">
        <is>
          <t>no_engine_data, missing_length_m, missing_beam_m, missing_speed_kn, missing_crew_count, missing_price_per_day</t>
        </is>
      </c>
    </row>
    <row r="42">
      <c r="A42" s="2">
        <f>IF(Q42="","",RANK(Q42,$Q$2:$Q$127))</f>
        <v/>
      </c>
      <c r="B42" t="inlineStr">
        <is>
          <t>Galapagos Horizon</t>
        </is>
      </c>
      <c r="C42" t="inlineStr">
        <is>
          <t>Catamaran</t>
        </is>
      </c>
      <c r="D42" s="4" t="n">
        <v>16</v>
      </c>
      <c r="E42" s="4" t="n">
        <v>10</v>
      </c>
      <c r="F42" s="4" t="n">
        <v>38</v>
      </c>
      <c r="G42" s="4" t="n">
        <v>13</v>
      </c>
      <c r="H42" s="4" t="n"/>
      <c r="I42" s="4" t="n">
        <v>0</v>
      </c>
      <c r="J42" s="4" t="n">
        <v>0</v>
      </c>
      <c r="K42" s="2">
        <f>IF(OR(E42="",D42=""),"",E42/D42)</f>
        <v/>
      </c>
      <c r="L42" s="2">
        <f>IF(OR(F42="",G42="",D42=""),"",F42*G42/D42)</f>
        <v/>
      </c>
      <c r="M42" s="2">
        <f>IFERROR(IF(K42="","",(K42-MIN($K$2:$K$127))/(MAX($K$2:$K$127)-MIN($K$2:$K$127))),"")</f>
        <v/>
      </c>
      <c r="N42" s="2">
        <f>IFERROR(IF(L42="","",(L42-MIN($L$2:$L$127))/(MAX($L$2:$L$127)-MIN($L$2:$L$127))),"")</f>
        <v/>
      </c>
      <c r="O42" s="2">
        <f>IFERROR(IF(H42="","",(MAX($H$2:$H$127)-H42)/(MAX($H$2:$H$127)-MIN($H$2:$H$127))),"")</f>
        <v/>
      </c>
      <c r="P42" s="2">
        <f>Ww_citizen*IF(I42="",0,I42)+Ww_farm*IF(J42="",0,J42)+Ww_service*IF(M42="",0,M42)+Ww_space*IF(N42="",0,N42)+Ww_nav*IF(O42="",0,O42)</f>
        <v/>
      </c>
      <c r="Q42" s="2">
        <f>IFERROR(ROUND(100*(P42-MIN($P$2:$P$127))/(MAX($P$2:$P$127)-MIN($P$2:$P$127)),1),"")</f>
        <v/>
      </c>
      <c r="R42" t="inlineStr"/>
    </row>
    <row r="43">
      <c r="A43" s="2">
        <f>IF(Q43="","",RANK(Q43,$Q$2:$Q$127))</f>
        <v/>
      </c>
      <c r="B43" t="inlineStr">
        <is>
          <t>Angelito</t>
        </is>
      </c>
      <c r="C43" t="inlineStr">
        <is>
          <t>Yacht</t>
        </is>
      </c>
      <c r="D43" s="4" t="n">
        <v>16</v>
      </c>
      <c r="E43" s="4" t="n">
        <v>7</v>
      </c>
      <c r="F43" s="4" t="n">
        <v>21</v>
      </c>
      <c r="G43" s="4" t="n">
        <v>7</v>
      </c>
      <c r="H43" s="4" t="n">
        <v>36.4</v>
      </c>
      <c r="I43" s="4" t="n">
        <v>0</v>
      </c>
      <c r="J43" s="4" t="n">
        <v>0</v>
      </c>
      <c r="K43" s="2">
        <f>IF(OR(E43="",D43=""),"",E43/D43)</f>
        <v/>
      </c>
      <c r="L43" s="2">
        <f>IF(OR(F43="",G43="",D43=""),"",F43*G43/D43)</f>
        <v/>
      </c>
      <c r="M43" s="2">
        <f>IFERROR(IF(K43="","",(K43-MIN($K$2:$K$127))/(MAX($K$2:$K$127)-MIN($K$2:$K$127))),"")</f>
        <v/>
      </c>
      <c r="N43" s="2">
        <f>IFERROR(IF(L43="","",(L43-MIN($L$2:$L$127))/(MAX($L$2:$L$127)-MIN($L$2:$L$127))),"")</f>
        <v/>
      </c>
      <c r="O43" s="2">
        <f>IFERROR(IF(H43="","",(MAX($H$2:$H$127)-H43)/(MAX($H$2:$H$127)-MIN($H$2:$H$127))),"")</f>
        <v/>
      </c>
      <c r="P43" s="2">
        <f>Ww_citizen*IF(I43="",0,I43)+Ww_farm*IF(J43="",0,J43)+Ww_service*IF(M43="",0,M43)+Ww_space*IF(N43="",0,N43)+Ww_nav*IF(O43="",0,O43)</f>
        <v/>
      </c>
      <c r="Q43" s="2">
        <f>IFERROR(ROUND(100*(P43-MIN($P$2:$P$127))/(MAX($P$2:$P$127)-MIN($P$2:$P$127)),1),"")</f>
        <v/>
      </c>
      <c r="R43" t="inlineStr"/>
    </row>
    <row r="44">
      <c r="A44" s="2">
        <f>IF(Q44="","",RANK(Q44,$Q$2:$Q$127))</f>
        <v/>
      </c>
      <c r="B44" t="inlineStr">
        <is>
          <t>Merak</t>
        </is>
      </c>
      <c r="C44" t="inlineStr">
        <is>
          <t>Motor Sailboat</t>
        </is>
      </c>
      <c r="D44" s="4" t="n">
        <v>8</v>
      </c>
      <c r="E44" s="4" t="n"/>
      <c r="F44" s="4" t="n"/>
      <c r="G44" s="4" t="n"/>
      <c r="H44" s="4" t="n">
        <v>29.7</v>
      </c>
      <c r="I44" s="4" t="n">
        <v>0</v>
      </c>
      <c r="J44" s="4" t="n">
        <v>0</v>
      </c>
      <c r="K44" s="2">
        <f>IF(OR(E44="",D44=""),"",E44/D44)</f>
        <v/>
      </c>
      <c r="L44" s="2">
        <f>IF(OR(F44="",G44="",D44=""),"",F44*G44/D44)</f>
        <v/>
      </c>
      <c r="M44" s="2">
        <f>IFERROR(IF(K44="","",(K44-MIN($K$2:$K$127))/(MAX($K$2:$K$127)-MIN($K$2:$K$127))),"")</f>
        <v/>
      </c>
      <c r="N44" s="2">
        <f>IFERROR(IF(L44="","",(L44-MIN($L$2:$L$127))/(MAX($L$2:$L$127)-MIN($L$2:$L$127))),"")</f>
        <v/>
      </c>
      <c r="O44" s="2">
        <f>IFERROR(IF(H44="","",(MAX($H$2:$H$127)-H44)/(MAX($H$2:$H$127)-MIN($H$2:$H$127))),"")</f>
        <v/>
      </c>
      <c r="P44" s="2">
        <f>Ww_citizen*IF(I44="",0,I44)+Ww_farm*IF(J44="",0,J44)+Ww_service*IF(M44="",0,M44)+Ww_space*IF(N44="",0,N44)+Ww_nav*IF(O44="",0,O44)</f>
        <v/>
      </c>
      <c r="Q44" s="2">
        <f>IFERROR(ROUND(100*(P44-MIN($P$2:$P$127))/(MAX($P$2:$P$127)-MIN($P$2:$P$127)),1),"")</f>
        <v/>
      </c>
      <c r="R44" t="inlineStr">
        <is>
          <t>length_ft_m_mismatch, no_engine_data, missing_length_m, missing_beam_m, missing_crew_count, missing_price_per_day</t>
        </is>
      </c>
    </row>
    <row r="45">
      <c r="A45" s="2">
        <f>IF(Q45="","",RANK(Q45,$Q$2:$Q$127))</f>
        <v/>
      </c>
      <c r="B45" t="inlineStr">
        <is>
          <t>Celebrity Flora</t>
        </is>
      </c>
      <c r="C45" t="inlineStr">
        <is>
          <t>Ship</t>
        </is>
      </c>
      <c r="D45" s="4" t="n">
        <v>100</v>
      </c>
      <c r="E45" s="4" t="n">
        <v>81</v>
      </c>
      <c r="F45" s="4" t="n">
        <v>101.5</v>
      </c>
      <c r="G45" s="4" t="n">
        <v>17</v>
      </c>
      <c r="H45" s="4" t="n"/>
      <c r="I45" s="4" t="n">
        <v>0</v>
      </c>
      <c r="J45" s="4" t="n">
        <v>0</v>
      </c>
      <c r="K45" s="2">
        <f>IF(OR(E45="",D45=""),"",E45/D45)</f>
        <v/>
      </c>
      <c r="L45" s="2">
        <f>IF(OR(F45="",G45="",D45=""),"",F45*G45/D45)</f>
        <v/>
      </c>
      <c r="M45" s="2">
        <f>IFERROR(IF(K45="","",(K45-MIN($K$2:$K$127))/(MAX($K$2:$K$127)-MIN($K$2:$K$127))),"")</f>
        <v/>
      </c>
      <c r="N45" s="2">
        <f>IFERROR(IF(L45="","",(L45-MIN($L$2:$L$127))/(MAX($L$2:$L$127)-MIN($L$2:$L$127))),"")</f>
        <v/>
      </c>
      <c r="O45" s="2">
        <f>IFERROR(IF(H45="","",(MAX($H$2:$H$127)-H45)/(MAX($H$2:$H$127)-MIN($H$2:$H$127))),"")</f>
        <v/>
      </c>
      <c r="P45" s="2">
        <f>Ww_citizen*IF(I45="",0,I45)+Ww_farm*IF(J45="",0,J45)+Ww_service*IF(M45="",0,M45)+Ww_space*IF(N45="",0,N45)+Ww_nav*IF(O45="",0,O45)</f>
        <v/>
      </c>
      <c r="Q45" s="2">
        <f>IFERROR(ROUND(100*(P45-MIN($P$2:$P$127))/(MAX($P$2:$P$127)-MIN($P$2:$P$127)),1),"")</f>
        <v/>
      </c>
      <c r="R45" t="inlineStr">
        <is>
          <t>length_ft_m_mismatch, missing_price_per_day</t>
        </is>
      </c>
    </row>
    <row r="46">
      <c r="A46" s="2">
        <f>IF(Q46="","",RANK(Q46,$Q$2:$Q$127))</f>
        <v/>
      </c>
      <c r="B46" t="inlineStr">
        <is>
          <t>Coral I</t>
        </is>
      </c>
      <c r="C46" t="inlineStr">
        <is>
          <t>Monohull</t>
        </is>
      </c>
      <c r="D46" s="4" t="n">
        <v>20</v>
      </c>
      <c r="E46" s="4" t="n"/>
      <c r="F46" s="4" t="n"/>
      <c r="G46" s="4" t="n"/>
      <c r="H46" s="4" t="n">
        <v>30.2</v>
      </c>
      <c r="I46" s="4" t="n">
        <v>0</v>
      </c>
      <c r="J46" s="4" t="n">
        <v>0</v>
      </c>
      <c r="K46" s="2">
        <f>IF(OR(E46="",D46=""),"",E46/D46)</f>
        <v/>
      </c>
      <c r="L46" s="2">
        <f>IF(OR(F46="",G46="",D46=""),"",F46*G46/D46)</f>
        <v/>
      </c>
      <c r="M46" s="2">
        <f>IFERROR(IF(K46="","",(K46-MIN($K$2:$K$127))/(MAX($K$2:$K$127)-MIN($K$2:$K$127))),"")</f>
        <v/>
      </c>
      <c r="N46" s="2">
        <f>IFERROR(IF(L46="","",(L46-MIN($L$2:$L$127))/(MAX($L$2:$L$127)-MIN($L$2:$L$127))),"")</f>
        <v/>
      </c>
      <c r="O46" s="2">
        <f>IFERROR(IF(H46="","",(MAX($H$2:$H$127)-H46)/(MAX($H$2:$H$127)-MIN($H$2:$H$127))),"")</f>
        <v/>
      </c>
      <c r="P46" s="2">
        <f>Ww_citizen*IF(I46="",0,I46)+Ww_farm*IF(J46="",0,J46)+Ww_service*IF(M46="",0,M46)+Ww_space*IF(N46="",0,N46)+Ww_nav*IF(O46="",0,O46)</f>
        <v/>
      </c>
      <c r="Q46" s="2">
        <f>IFERROR(ROUND(100*(P46-MIN($P$2:$P$127))/(MAX($P$2:$P$127)-MIN($P$2:$P$127)),1),"")</f>
        <v/>
      </c>
      <c r="R46" t="inlineStr">
        <is>
          <t>no_engine_data, missing_length_m, missing_beam_m, missing_speed_kn, missing_crew_count, missing_price_per_day</t>
        </is>
      </c>
    </row>
    <row r="47">
      <c r="A47" s="2">
        <f>IF(Q47="","",RANK(Q47,$Q$2:$Q$127))</f>
        <v/>
      </c>
      <c r="B47" t="inlineStr">
        <is>
          <t>Coral II</t>
        </is>
      </c>
      <c r="C47" t="inlineStr">
        <is>
          <t>Monohull</t>
        </is>
      </c>
      <c r="D47" s="4" t="n">
        <v>36</v>
      </c>
      <c r="E47" s="4" t="n"/>
      <c r="F47" s="4" t="n"/>
      <c r="G47" s="4" t="n"/>
      <c r="H47" s="4" t="n">
        <v>30.2</v>
      </c>
      <c r="I47" s="4" t="n">
        <v>0</v>
      </c>
      <c r="J47" s="4" t="n">
        <v>0</v>
      </c>
      <c r="K47" s="2">
        <f>IF(OR(E47="",D47=""),"",E47/D47)</f>
        <v/>
      </c>
      <c r="L47" s="2">
        <f>IF(OR(F47="",G47="",D47=""),"",F47*G47/D47)</f>
        <v/>
      </c>
      <c r="M47" s="2">
        <f>IFERROR(IF(K47="","",(K47-MIN($K$2:$K$127))/(MAX($K$2:$K$127)-MIN($K$2:$K$127))),"")</f>
        <v/>
      </c>
      <c r="N47" s="2">
        <f>IFERROR(IF(L47="","",(L47-MIN($L$2:$L$127))/(MAX($L$2:$L$127)-MIN($L$2:$L$127))),"")</f>
        <v/>
      </c>
      <c r="O47" s="2">
        <f>IFERROR(IF(H47="","",(MAX($H$2:$H$127)-H47)/(MAX($H$2:$H$127)-MIN($H$2:$H$127))),"")</f>
        <v/>
      </c>
      <c r="P47" s="2">
        <f>Ww_citizen*IF(I47="",0,I47)+Ww_farm*IF(J47="",0,J47)+Ww_service*IF(M47="",0,M47)+Ww_space*IF(N47="",0,N47)+Ww_nav*IF(O47="",0,O47)</f>
        <v/>
      </c>
      <c r="Q47" s="2">
        <f>IFERROR(ROUND(100*(P47-MIN($P$2:$P$127))/(MAX($P$2:$P$127)-MIN($P$2:$P$127)),1),"")</f>
        <v/>
      </c>
      <c r="R47" t="inlineStr">
        <is>
          <t>no_engine_data, missing_length_m, missing_beam_m, missing_speed_kn, missing_crew_count, missing_price_per_day</t>
        </is>
      </c>
    </row>
    <row r="48">
      <c r="A48" s="2">
        <f>IF(Q48="","",RANK(Q48,$Q$2:$Q$127))</f>
        <v/>
      </c>
      <c r="B48" t="inlineStr">
        <is>
          <t>Cachalote Explorer</t>
        </is>
      </c>
      <c r="C48" t="inlineStr">
        <is>
          <t>Yacht</t>
        </is>
      </c>
      <c r="D48" s="4" t="n">
        <v>16</v>
      </c>
      <c r="E48" s="4" t="n">
        <v>4</v>
      </c>
      <c r="F48" s="4" t="n">
        <v>26</v>
      </c>
      <c r="G48" s="4" t="n"/>
      <c r="H48" s="4" t="n">
        <v>33.4</v>
      </c>
      <c r="I48" s="4" t="n">
        <v>0</v>
      </c>
      <c r="J48" s="4" t="n">
        <v>0</v>
      </c>
      <c r="K48" s="2">
        <f>IF(OR(E48="",D48=""),"",E48/D48)</f>
        <v/>
      </c>
      <c r="L48" s="2">
        <f>IF(OR(F48="",G48="",D48=""),"",F48*G48/D48)</f>
        <v/>
      </c>
      <c r="M48" s="2">
        <f>IFERROR(IF(K48="","",(K48-MIN($K$2:$K$127))/(MAX($K$2:$K$127)-MIN($K$2:$K$127))),"")</f>
        <v/>
      </c>
      <c r="N48" s="2">
        <f>IFERROR(IF(L48="","",(L48-MIN($L$2:$L$127))/(MAX($L$2:$L$127)-MIN($L$2:$L$127))),"")</f>
        <v/>
      </c>
      <c r="O48" s="2">
        <f>IFERROR(IF(H48="","",(MAX($H$2:$H$127)-H48)/(MAX($H$2:$H$127)-MIN($H$2:$H$127))),"")</f>
        <v/>
      </c>
      <c r="P48" s="2">
        <f>Ww_citizen*IF(I48="",0,I48)+Ww_farm*IF(J48="",0,J48)+Ww_service*IF(M48="",0,M48)+Ww_space*IF(N48="",0,N48)+Ww_nav*IF(O48="",0,O48)</f>
        <v/>
      </c>
      <c r="Q48" s="2">
        <f>IFERROR(ROUND(100*(P48-MIN($P$2:$P$127))/(MAX($P$2:$P$127)-MIN($P$2:$P$127)),1),"")</f>
        <v/>
      </c>
      <c r="R48" t="inlineStr">
        <is>
          <t>missing_beam_m</t>
        </is>
      </c>
    </row>
    <row r="49">
      <c r="A49" s="2">
        <f>IF(Q49="","",RANK(Q49,$Q$2:$Q$127))</f>
        <v/>
      </c>
      <c r="B49" t="inlineStr">
        <is>
          <t>Elite</t>
        </is>
      </c>
      <c r="C49" t="inlineStr">
        <is>
          <t>Catamaran</t>
        </is>
      </c>
      <c r="D49" s="4" t="n">
        <v>16</v>
      </c>
      <c r="E49" s="4" t="n">
        <v>11</v>
      </c>
      <c r="F49" s="4" t="n"/>
      <c r="G49" s="4" t="n">
        <v>5</v>
      </c>
      <c r="H49" s="4" t="n">
        <v>39.6</v>
      </c>
      <c r="I49" s="4" t="n">
        <v>0</v>
      </c>
      <c r="J49" s="4" t="n">
        <v>0</v>
      </c>
      <c r="K49" s="2">
        <f>IF(OR(E49="",D49=""),"",E49/D49)</f>
        <v/>
      </c>
      <c r="L49" s="2">
        <f>IF(OR(F49="",G49="",D49=""),"",F49*G49/D49)</f>
        <v/>
      </c>
      <c r="M49" s="2">
        <f>IFERROR(IF(K49="","",(K49-MIN($K$2:$K$127))/(MAX($K$2:$K$127)-MIN($K$2:$K$127))),"")</f>
        <v/>
      </c>
      <c r="N49" s="2">
        <f>IFERROR(IF(L49="","",(L49-MIN($L$2:$L$127))/(MAX($L$2:$L$127)-MIN($L$2:$L$127))),"")</f>
        <v/>
      </c>
      <c r="O49" s="2">
        <f>IFERROR(IF(H49="","",(MAX($H$2:$H$127)-H49)/(MAX($H$2:$H$127)-MIN($H$2:$H$127))),"")</f>
        <v/>
      </c>
      <c r="P49" s="2">
        <f>Ww_citizen*IF(I49="",0,I49)+Ww_farm*IF(J49="",0,J49)+Ww_service*IF(M49="",0,M49)+Ww_space*IF(N49="",0,N49)+Ww_nav*IF(O49="",0,O49)</f>
        <v/>
      </c>
      <c r="Q49" s="2">
        <f>IFERROR(ROUND(100*(P49-MIN($P$2:$P$127))/(MAX($P$2:$P$127)-MIN($P$2:$P$127)),1),"")</f>
        <v/>
      </c>
      <c r="R49" t="inlineStr">
        <is>
          <t>length_ft_m_mismatch, length_out_of_range, missing_length_m</t>
        </is>
      </c>
    </row>
    <row r="50">
      <c r="A50" s="2">
        <f>IF(Q50="","",RANK(Q50,$Q$2:$Q$127))</f>
        <v/>
      </c>
      <c r="B50" t="inlineStr">
        <is>
          <t>La Pinta</t>
        </is>
      </c>
      <c r="C50" t="inlineStr">
        <is>
          <t>Ship</t>
        </is>
      </c>
      <c r="D50" s="4" t="n">
        <v>48</v>
      </c>
      <c r="E50" s="4" t="n">
        <v>1</v>
      </c>
      <c r="F50" s="4" t="n">
        <v>63</v>
      </c>
      <c r="G50" s="4" t="n">
        <v>12</v>
      </c>
      <c r="H50" s="4" t="n">
        <v>33.8</v>
      </c>
      <c r="I50" s="4" t="n">
        <v>0</v>
      </c>
      <c r="J50" s="4" t="n">
        <v>0</v>
      </c>
      <c r="K50" s="2">
        <f>IF(OR(E50="",D50=""),"",E50/D50)</f>
        <v/>
      </c>
      <c r="L50" s="2">
        <f>IF(OR(F50="",G50="",D50=""),"",F50*G50/D50)</f>
        <v/>
      </c>
      <c r="M50" s="2">
        <f>IFERROR(IF(K50="","",(K50-MIN($K$2:$K$127))/(MAX($K$2:$K$127)-MIN($K$2:$K$127))),"")</f>
        <v/>
      </c>
      <c r="N50" s="2">
        <f>IFERROR(IF(L50="","",(L50-MIN($L$2:$L$127))/(MAX($L$2:$L$127)-MIN($L$2:$L$127))),"")</f>
        <v/>
      </c>
      <c r="O50" s="2">
        <f>IFERROR(IF(H50="","",(MAX($H$2:$H$127)-H50)/(MAX($H$2:$H$127)-MIN($H$2:$H$127))),"")</f>
        <v/>
      </c>
      <c r="P50" s="2">
        <f>Ww_citizen*IF(I50="",0,I50)+Ww_farm*IF(J50="",0,J50)+Ww_service*IF(M50="",0,M50)+Ww_space*IF(N50="",0,N50)+Ww_nav*IF(O50="",0,O50)</f>
        <v/>
      </c>
      <c r="Q50" s="2">
        <f>IFERROR(ROUND(100*(P50-MIN($P$2:$P$127))/(MAX($P$2:$P$127)-MIN($P$2:$P$127)),1),"")</f>
        <v/>
      </c>
      <c r="R50" t="inlineStr"/>
    </row>
    <row r="51">
      <c r="A51" s="2">
        <f>IF(Q51="","",RANK(Q51,$Q$2:$Q$127))</f>
        <v/>
      </c>
      <c r="B51" t="inlineStr">
        <is>
          <t>Petrel</t>
        </is>
      </c>
      <c r="C51" t="inlineStr">
        <is>
          <t>Catamaran</t>
        </is>
      </c>
      <c r="D51" s="4" t="n">
        <v>16</v>
      </c>
      <c r="E51" s="4" t="n">
        <v>2</v>
      </c>
      <c r="F51" s="4" t="n">
        <v>35.1</v>
      </c>
      <c r="G51" s="4" t="n"/>
      <c r="H51" s="4" t="n">
        <v>32.6</v>
      </c>
      <c r="I51" s="4" t="n">
        <v>0</v>
      </c>
      <c r="J51" s="4" t="n">
        <v>0</v>
      </c>
      <c r="K51" s="2">
        <f>IF(OR(E51="",D51=""),"",E51/D51)</f>
        <v/>
      </c>
      <c r="L51" s="2">
        <f>IF(OR(F51="",G51="",D51=""),"",F51*G51/D51)</f>
        <v/>
      </c>
      <c r="M51" s="2">
        <f>IFERROR(IF(K51="","",(K51-MIN($K$2:$K$127))/(MAX($K$2:$K$127)-MIN($K$2:$K$127))),"")</f>
        <v/>
      </c>
      <c r="N51" s="2">
        <f>IFERROR(IF(L51="","",(L51-MIN($L$2:$L$127))/(MAX($L$2:$L$127)-MIN($L$2:$L$127))),"")</f>
        <v/>
      </c>
      <c r="O51" s="2">
        <f>IFERROR(IF(H51="","",(MAX($H$2:$H$127)-H51)/(MAX($H$2:$H$127)-MIN($H$2:$H$127))),"")</f>
        <v/>
      </c>
      <c r="P51" s="2">
        <f>Ww_citizen*IF(I51="",0,I51)+Ww_farm*IF(J51="",0,J51)+Ww_service*IF(M51="",0,M51)+Ww_space*IF(N51="",0,N51)+Ww_nav*IF(O51="",0,O51)</f>
        <v/>
      </c>
      <c r="Q51" s="2">
        <f>IFERROR(ROUND(100*(P51-MIN($P$2:$P$127))/(MAX($P$2:$P$127)-MIN($P$2:$P$127)),1),"")</f>
        <v/>
      </c>
      <c r="R51" t="inlineStr">
        <is>
          <t>missing_beam_m, missing_price_per_day</t>
        </is>
      </c>
    </row>
    <row r="52">
      <c r="A52" s="2">
        <f>IF(Q52="","",RANK(Q52,$Q$2:$Q$127))</f>
        <v/>
      </c>
      <c r="B52" t="inlineStr">
        <is>
          <t>Galapagos Angel</t>
        </is>
      </c>
      <c r="C52" t="inlineStr">
        <is>
          <t>Yacht</t>
        </is>
      </c>
      <c r="D52" s="4" t="n">
        <v>16</v>
      </c>
      <c r="E52" s="4" t="n">
        <v>11</v>
      </c>
      <c r="F52" s="4" t="n">
        <v>35</v>
      </c>
      <c r="G52" s="4" t="n">
        <v>8</v>
      </c>
      <c r="H52" s="4" t="n"/>
      <c r="I52" s="4" t="n">
        <v>0</v>
      </c>
      <c r="J52" s="4" t="n">
        <v>0</v>
      </c>
      <c r="K52" s="2">
        <f>IF(OR(E52="",D52=""),"",E52/D52)</f>
        <v/>
      </c>
      <c r="L52" s="2">
        <f>IF(OR(F52="",G52="",D52=""),"",F52*G52/D52)</f>
        <v/>
      </c>
      <c r="M52" s="2">
        <f>IFERROR(IF(K52="","",(K52-MIN($K$2:$K$127))/(MAX($K$2:$K$127)-MIN($K$2:$K$127))),"")</f>
        <v/>
      </c>
      <c r="N52" s="2">
        <f>IFERROR(IF(L52="","",(L52-MIN($L$2:$L$127))/(MAX($L$2:$L$127)-MIN($L$2:$L$127))),"")</f>
        <v/>
      </c>
      <c r="O52" s="2">
        <f>IFERROR(IF(H52="","",(MAX($H$2:$H$127)-H52)/(MAX($H$2:$H$127)-MIN($H$2:$H$127))),"")</f>
        <v/>
      </c>
      <c r="P52" s="2">
        <f>Ww_citizen*IF(I52="",0,I52)+Ww_farm*IF(J52="",0,J52)+Ww_service*IF(M52="",0,M52)+Ww_space*IF(N52="",0,N52)+Ww_nav*IF(O52="",0,O52)</f>
        <v/>
      </c>
      <c r="Q52" s="2">
        <f>IFERROR(ROUND(100*(P52-MIN($P$2:$P$127))/(MAX($P$2:$P$127)-MIN($P$2:$P$127)),1),"")</f>
        <v/>
      </c>
      <c r="R52" t="inlineStr"/>
    </row>
    <row r="53">
      <c r="A53" s="2">
        <f>IF(Q53="","",RANK(Q53,$Q$2:$Q$127))</f>
        <v/>
      </c>
      <c r="B53" t="inlineStr">
        <is>
          <t>Galapagos Master</t>
        </is>
      </c>
      <c r="C53" t="inlineStr">
        <is>
          <t>Yacht</t>
        </is>
      </c>
      <c r="D53" s="4" t="n">
        <v>16</v>
      </c>
      <c r="E53" s="4" t="n">
        <v>11</v>
      </c>
      <c r="F53" s="4" t="n">
        <v>32</v>
      </c>
      <c r="G53" s="4" t="n">
        <v>8</v>
      </c>
      <c r="H53" s="4" t="n"/>
      <c r="I53" s="4" t="n">
        <v>0</v>
      </c>
      <c r="J53" s="4" t="n">
        <v>0</v>
      </c>
      <c r="K53" s="2">
        <f>IF(OR(E53="",D53=""),"",E53/D53)</f>
        <v/>
      </c>
      <c r="L53" s="2">
        <f>IF(OR(F53="",G53="",D53=""),"",F53*G53/D53)</f>
        <v/>
      </c>
      <c r="M53" s="2">
        <f>IFERROR(IF(K53="","",(K53-MIN($K$2:$K$127))/(MAX($K$2:$K$127)-MIN($K$2:$K$127))),"")</f>
        <v/>
      </c>
      <c r="N53" s="2">
        <f>IFERROR(IF(L53="","",(L53-MIN($L$2:$L$127))/(MAX($L$2:$L$127)-MIN($L$2:$L$127))),"")</f>
        <v/>
      </c>
      <c r="O53" s="2">
        <f>IFERROR(IF(H53="","",(MAX($H$2:$H$127)-H53)/(MAX($H$2:$H$127)-MIN($H$2:$H$127))),"")</f>
        <v/>
      </c>
      <c r="P53" s="2">
        <f>Ww_citizen*IF(I53="",0,I53)+Ww_farm*IF(J53="",0,J53)+Ww_service*IF(M53="",0,M53)+Ww_space*IF(N53="",0,N53)+Ww_nav*IF(O53="",0,O53)</f>
        <v/>
      </c>
      <c r="Q53" s="2">
        <f>IFERROR(ROUND(100*(P53-MIN($P$2:$P$127))/(MAX($P$2:$P$127)-MIN($P$2:$P$127)),1),"")</f>
        <v/>
      </c>
      <c r="R53" t="inlineStr">
        <is>
          <t>missing_price_per_day</t>
        </is>
      </c>
    </row>
    <row r="54">
      <c r="A54" s="2">
        <f>IF(Q54="","",RANK(Q54,$Q$2:$Q$127))</f>
        <v/>
      </c>
      <c r="B54" t="inlineStr">
        <is>
          <t>Grand Daphne</t>
        </is>
      </c>
      <c r="C54" t="inlineStr">
        <is>
          <t>Yacht</t>
        </is>
      </c>
      <c r="D54" s="4" t="n">
        <v>16</v>
      </c>
      <c r="E54" s="4" t="n">
        <v>8</v>
      </c>
      <c r="F54" s="4" t="n">
        <v>21</v>
      </c>
      <c r="G54" s="4" t="n">
        <v>20</v>
      </c>
      <c r="H54" s="4" t="n"/>
      <c r="I54" s="4" t="n">
        <v>0</v>
      </c>
      <c r="J54" s="4" t="n">
        <v>0</v>
      </c>
      <c r="K54" s="2">
        <f>IF(OR(E54="",D54=""),"",E54/D54)</f>
        <v/>
      </c>
      <c r="L54" s="2">
        <f>IF(OR(F54="",G54="",D54=""),"",F54*G54/D54)</f>
        <v/>
      </c>
      <c r="M54" s="2">
        <f>IFERROR(IF(K54="","",(K54-MIN($K$2:$K$127))/(MAX($K$2:$K$127)-MIN($K$2:$K$127))),"")</f>
        <v/>
      </c>
      <c r="N54" s="2">
        <f>IFERROR(IF(L54="","",(L54-MIN($L$2:$L$127))/(MAX($L$2:$L$127)-MIN($L$2:$L$127))),"")</f>
        <v/>
      </c>
      <c r="O54" s="2">
        <f>IFERROR(IF(H54="","",(MAX($H$2:$H$127)-H54)/(MAX($H$2:$H$127)-MIN($H$2:$H$127))),"")</f>
        <v/>
      </c>
      <c r="P54" s="2">
        <f>Ww_citizen*IF(I54="",0,I54)+Ww_farm*IF(J54="",0,J54)+Ww_service*IF(M54="",0,M54)+Ww_space*IF(N54="",0,N54)+Ww_nav*IF(O54="",0,O54)</f>
        <v/>
      </c>
      <c r="Q54" s="2">
        <f>IFERROR(ROUND(100*(P54-MIN($P$2:$P$127))/(MAX($P$2:$P$127)-MIN($P$2:$P$127)),1),"")</f>
        <v/>
      </c>
      <c r="R54" t="inlineStr">
        <is>
          <t>length_ft_m_mismatch</t>
        </is>
      </c>
    </row>
    <row r="55">
      <c r="A55" s="2">
        <f>IF(Q55="","",RANK(Q55,$Q$2:$Q$127))</f>
        <v/>
      </c>
      <c r="B55" t="inlineStr">
        <is>
          <t>Equinox</t>
        </is>
      </c>
      <c r="C55" t="inlineStr">
        <is>
          <t>Small Yacht</t>
        </is>
      </c>
      <c r="D55" s="4" t="n">
        <v>20</v>
      </c>
      <c r="E55" s="4" t="n"/>
      <c r="F55" s="4" t="n">
        <v>27</v>
      </c>
      <c r="G55" s="4" t="n">
        <v>7</v>
      </c>
      <c r="H55" s="4" t="n">
        <v>33.8</v>
      </c>
      <c r="I55" s="4" t="n">
        <v>0</v>
      </c>
      <c r="J55" s="4" t="n">
        <v>0</v>
      </c>
      <c r="K55" s="2">
        <f>IF(OR(E55="",D55=""),"",E55/D55)</f>
        <v/>
      </c>
      <c r="L55" s="2">
        <f>IF(OR(F55="",G55="",D55=""),"",F55*G55/D55)</f>
        <v/>
      </c>
      <c r="M55" s="2">
        <f>IFERROR(IF(K55="","",(K55-MIN($K$2:$K$127))/(MAX($K$2:$K$127)-MIN($K$2:$K$127))),"")</f>
        <v/>
      </c>
      <c r="N55" s="2">
        <f>IFERROR(IF(L55="","",(L55-MIN($L$2:$L$127))/(MAX($L$2:$L$127)-MIN($L$2:$L$127))),"")</f>
        <v/>
      </c>
      <c r="O55" s="2">
        <f>IFERROR(IF(H55="","",(MAX($H$2:$H$127)-H55)/(MAX($H$2:$H$127)-MIN($H$2:$H$127))),"")</f>
        <v/>
      </c>
      <c r="P55" s="2">
        <f>Ww_citizen*IF(I55="",0,I55)+Ww_farm*IF(J55="",0,J55)+Ww_service*IF(M55="",0,M55)+Ww_space*IF(N55="",0,N55)+Ww_nav*IF(O55="",0,O55)</f>
        <v/>
      </c>
      <c r="Q55" s="2">
        <f>IFERROR(ROUND(100*(P55-MIN($P$2:$P$127))/(MAX($P$2:$P$127)-MIN($P$2:$P$127)),1),"")</f>
        <v/>
      </c>
      <c r="R55" t="inlineStr">
        <is>
          <t>no_engine_data, missing_speed_kn, missing_crew_count, missing_price_per_day</t>
        </is>
      </c>
    </row>
    <row r="56">
      <c r="A56" s="2">
        <f>IF(Q56="","",RANK(Q56,$Q$2:$Q$127))</f>
        <v/>
      </c>
      <c r="B56" t="inlineStr">
        <is>
          <t>Samba</t>
        </is>
      </c>
      <c r="C56" t="inlineStr">
        <is>
          <t>Motorsailer</t>
        </is>
      </c>
      <c r="D56" s="4" t="n">
        <v>14</v>
      </c>
      <c r="E56" s="4" t="n">
        <v>7</v>
      </c>
      <c r="F56" s="4" t="n"/>
      <c r="G56" s="4" t="n"/>
      <c r="H56" s="4" t="n">
        <v>39</v>
      </c>
      <c r="I56" s="4" t="n">
        <v>0</v>
      </c>
      <c r="J56" s="4" t="n">
        <v>0</v>
      </c>
      <c r="K56" s="2">
        <f>IF(OR(E56="",D56=""),"",E56/D56)</f>
        <v/>
      </c>
      <c r="L56" s="2">
        <f>IF(OR(F56="",G56="",D56=""),"",F56*G56/D56)</f>
        <v/>
      </c>
      <c r="M56" s="2">
        <f>IFERROR(IF(K56="","",(K56-MIN($K$2:$K$127))/(MAX($K$2:$K$127)-MIN($K$2:$K$127))),"")</f>
        <v/>
      </c>
      <c r="N56" s="2">
        <f>IFERROR(IF(L56="","",(L56-MIN($L$2:$L$127))/(MAX($L$2:$L$127)-MIN($L$2:$L$127))),"")</f>
        <v/>
      </c>
      <c r="O56" s="2">
        <f>IFERROR(IF(H56="","",(MAX($H$2:$H$127)-H56)/(MAX($H$2:$H$127)-MIN($H$2:$H$127))),"")</f>
        <v/>
      </c>
      <c r="P56" s="2">
        <f>Ww_citizen*IF(I56="",0,I56)+Ww_farm*IF(J56="",0,J56)+Ww_service*IF(M56="",0,M56)+Ww_space*IF(N56="",0,N56)+Ww_nav*IF(O56="",0,O56)</f>
        <v/>
      </c>
      <c r="Q56" s="2">
        <f>IFERROR(ROUND(100*(P56-MIN($P$2:$P$127))/(MAX($P$2:$P$127)-MIN($P$2:$P$127)),1),"")</f>
        <v/>
      </c>
      <c r="R56" t="inlineStr">
        <is>
          <t>length_out_of_range, length_ft_m_mismatch, missing_length_m, missing_beam_m</t>
        </is>
      </c>
    </row>
    <row r="57">
      <c r="A57" s="2">
        <f>IF(Q57="","",RANK(Q57,$Q$2:$Q$127))</f>
        <v/>
      </c>
      <c r="B57" t="inlineStr">
        <is>
          <t>Anahi</t>
        </is>
      </c>
      <c r="C57" t="inlineStr">
        <is>
          <t>Catamaran</t>
        </is>
      </c>
      <c r="D57" s="4" t="n">
        <v>16</v>
      </c>
      <c r="E57" s="4" t="n">
        <v>1</v>
      </c>
      <c r="F57" s="4" t="n"/>
      <c r="G57" s="4" t="n">
        <v>11</v>
      </c>
      <c r="H57" s="4" t="n">
        <v>33.2</v>
      </c>
      <c r="I57" s="4" t="n">
        <v>0</v>
      </c>
      <c r="J57" s="4" t="n">
        <v>0</v>
      </c>
      <c r="K57" s="2">
        <f>IF(OR(E57="",D57=""),"",E57/D57)</f>
        <v/>
      </c>
      <c r="L57" s="2">
        <f>IF(OR(F57="",G57="",D57=""),"",F57*G57/D57)</f>
        <v/>
      </c>
      <c r="M57" s="2">
        <f>IFERROR(IF(K57="","",(K57-MIN($K$2:$K$127))/(MAX($K$2:$K$127)-MIN($K$2:$K$127))),"")</f>
        <v/>
      </c>
      <c r="N57" s="2">
        <f>IFERROR(IF(L57="","",(L57-MIN($L$2:$L$127))/(MAX($L$2:$L$127)-MIN($L$2:$L$127))),"")</f>
        <v/>
      </c>
      <c r="O57" s="2">
        <f>IFERROR(IF(H57="","",(MAX($H$2:$H$127)-H57)/(MAX($H$2:$H$127)-MIN($H$2:$H$127))),"")</f>
        <v/>
      </c>
      <c r="P57" s="2">
        <f>Ww_citizen*IF(I57="",0,I57)+Ww_farm*IF(J57="",0,J57)+Ww_service*IF(M57="",0,M57)+Ww_space*IF(N57="",0,N57)+Ww_nav*IF(O57="",0,O57)</f>
        <v/>
      </c>
      <c r="Q57" s="2">
        <f>IFERROR(ROUND(100*(P57-MIN($P$2:$P$127))/(MAX($P$2:$P$127)-MIN($P$2:$P$127)),1),"")</f>
        <v/>
      </c>
      <c r="R57" t="inlineStr">
        <is>
          <t>length_ft_m_mismatch, length_ft_m_mismatch, missing_length_m</t>
        </is>
      </c>
    </row>
    <row r="58">
      <c r="A58" s="2">
        <f>IF(Q58="","",RANK(Q58,$Q$2:$Q$127))</f>
        <v/>
      </c>
      <c r="B58" t="inlineStr">
        <is>
          <t>Evolution</t>
        </is>
      </c>
      <c r="C58" t="inlineStr">
        <is>
          <t>Ship</t>
        </is>
      </c>
      <c r="D58" s="4" t="n">
        <v>32</v>
      </c>
      <c r="E58" s="4" t="n">
        <v>18</v>
      </c>
      <c r="F58" s="4" t="n">
        <v>60</v>
      </c>
      <c r="G58" s="4" t="n"/>
      <c r="H58" s="4" t="n">
        <v>39.9</v>
      </c>
      <c r="I58" s="4" t="n">
        <v>0</v>
      </c>
      <c r="J58" s="4" t="n">
        <v>0</v>
      </c>
      <c r="K58" s="2">
        <f>IF(OR(E58="",D58=""),"",E58/D58)</f>
        <v/>
      </c>
      <c r="L58" s="2">
        <f>IF(OR(F58="",G58="",D58=""),"",F58*G58/D58)</f>
        <v/>
      </c>
      <c r="M58" s="2">
        <f>IFERROR(IF(K58="","",(K58-MIN($K$2:$K$127))/(MAX($K$2:$K$127)-MIN($K$2:$K$127))),"")</f>
        <v/>
      </c>
      <c r="N58" s="2">
        <f>IFERROR(IF(L58="","",(L58-MIN($L$2:$L$127))/(MAX($L$2:$L$127)-MIN($L$2:$L$127))),"")</f>
        <v/>
      </c>
      <c r="O58" s="2">
        <f>IFERROR(IF(H58="","",(MAX($H$2:$H$127)-H58)/(MAX($H$2:$H$127)-MIN($H$2:$H$127))),"")</f>
        <v/>
      </c>
      <c r="P58" s="2">
        <f>Ww_citizen*IF(I58="",0,I58)+Ww_farm*IF(J58="",0,J58)+Ww_service*IF(M58="",0,M58)+Ww_space*IF(N58="",0,N58)+Ww_nav*IF(O58="",0,O58)</f>
        <v/>
      </c>
      <c r="Q58" s="2">
        <f>IFERROR(ROUND(100*(P58-MIN($P$2:$P$127))/(MAX($P$2:$P$127)-MIN($P$2:$P$127)),1),"")</f>
        <v/>
      </c>
      <c r="R58" t="inlineStr">
        <is>
          <t>length_ft_m_mismatch, missing_beam_m, missing_price_per_day</t>
        </is>
      </c>
    </row>
    <row r="59">
      <c r="A59" s="2">
        <f>IF(Q59="","",RANK(Q59,$Q$2:$Q$127))</f>
        <v/>
      </c>
      <c r="B59" t="inlineStr">
        <is>
          <t>Golondrina</t>
        </is>
      </c>
      <c r="C59" t="inlineStr">
        <is>
          <t>Small Yacht</t>
        </is>
      </c>
      <c r="D59" s="4" t="n">
        <v>16</v>
      </c>
      <c r="E59" s="4" t="n"/>
      <c r="F59" s="4" t="n">
        <v>22</v>
      </c>
      <c r="G59" s="4" t="n">
        <v>5</v>
      </c>
      <c r="H59" s="4" t="n">
        <v>33.6</v>
      </c>
      <c r="I59" s="4" t="n">
        <v>0</v>
      </c>
      <c r="J59" s="4" t="n">
        <v>0</v>
      </c>
      <c r="K59" s="2">
        <f>IF(OR(E59="",D59=""),"",E59/D59)</f>
        <v/>
      </c>
      <c r="L59" s="2">
        <f>IF(OR(F59="",G59="",D59=""),"",F59*G59/D59)</f>
        <v/>
      </c>
      <c r="M59" s="2">
        <f>IFERROR(IF(K59="","",(K59-MIN($K$2:$K$127))/(MAX($K$2:$K$127)-MIN($K$2:$K$127))),"")</f>
        <v/>
      </c>
      <c r="N59" s="2">
        <f>IFERROR(IF(L59="","",(L59-MIN($L$2:$L$127))/(MAX($L$2:$L$127)-MIN($L$2:$L$127))),"")</f>
        <v/>
      </c>
      <c r="O59" s="2">
        <f>IFERROR(IF(H59="","",(MAX($H$2:$H$127)-H59)/(MAX($H$2:$H$127)-MIN($H$2:$H$127))),"")</f>
        <v/>
      </c>
      <c r="P59" s="2">
        <f>Ww_citizen*IF(I59="",0,I59)+Ww_farm*IF(J59="",0,J59)+Ww_service*IF(M59="",0,M59)+Ww_space*IF(N59="",0,N59)+Ww_nav*IF(O59="",0,O59)</f>
        <v/>
      </c>
      <c r="Q59" s="2">
        <f>IFERROR(ROUND(100*(P59-MIN($P$2:$P$127))/(MAX($P$2:$P$127)-MIN($P$2:$P$127)),1),"")</f>
        <v/>
      </c>
      <c r="R59" t="inlineStr">
        <is>
          <t>no_engine_data, missing_crew_count, missing_price_per_day</t>
        </is>
      </c>
    </row>
    <row r="60">
      <c r="A60" s="2">
        <f>IF(Q60="","",RANK(Q60,$Q$2:$Q$127))</f>
        <v/>
      </c>
      <c r="B60" t="inlineStr">
        <is>
          <t>Tiburon Explorer</t>
        </is>
      </c>
      <c r="C60" t="inlineStr">
        <is>
          <t>Yacht</t>
        </is>
      </c>
      <c r="D60" s="4" t="n">
        <v>16</v>
      </c>
      <c r="E60" s="4" t="n">
        <v>11</v>
      </c>
      <c r="F60" s="4" t="n">
        <v>38.1</v>
      </c>
      <c r="G60" s="4" t="n">
        <v>5</v>
      </c>
      <c r="H60" s="4" t="n"/>
      <c r="I60" s="4" t="n">
        <v>0</v>
      </c>
      <c r="J60" s="4" t="n">
        <v>0</v>
      </c>
      <c r="K60" s="2">
        <f>IF(OR(E60="",D60=""),"",E60/D60)</f>
        <v/>
      </c>
      <c r="L60" s="2">
        <f>IF(OR(F60="",G60="",D60=""),"",F60*G60/D60)</f>
        <v/>
      </c>
      <c r="M60" s="2">
        <f>IFERROR(IF(K60="","",(K60-MIN($K$2:$K$127))/(MAX($K$2:$K$127)-MIN($K$2:$K$127))),"")</f>
        <v/>
      </c>
      <c r="N60" s="2">
        <f>IFERROR(IF(L60="","",(L60-MIN($L$2:$L$127))/(MAX($L$2:$L$127)-MIN($L$2:$L$127))),"")</f>
        <v/>
      </c>
      <c r="O60" s="2">
        <f>IFERROR(IF(H60="","",(MAX($H$2:$H$127)-H60)/(MAX($H$2:$H$127)-MIN($H$2:$H$127))),"")</f>
        <v/>
      </c>
      <c r="P60" s="2">
        <f>Ww_citizen*IF(I60="",0,I60)+Ww_farm*IF(J60="",0,J60)+Ww_service*IF(M60="",0,M60)+Ww_space*IF(N60="",0,N60)+Ww_nav*IF(O60="",0,O60)</f>
        <v/>
      </c>
      <c r="Q60" s="2">
        <f>IFERROR(ROUND(100*(P60-MIN($P$2:$P$127))/(MAX($P$2:$P$127)-MIN($P$2:$P$127)),1),"")</f>
        <v/>
      </c>
      <c r="R60" t="inlineStr">
        <is>
          <t>length_ft_m_mismatch, missing_price_per_day</t>
        </is>
      </c>
    </row>
    <row r="61">
      <c r="A61" s="2">
        <f>IF(Q61="","",RANK(Q61,$Q$2:$Q$127))</f>
        <v/>
      </c>
      <c r="B61" t="inlineStr">
        <is>
          <t>Mary Anne</t>
        </is>
      </c>
      <c r="C61" t="inlineStr">
        <is>
          <t>Motor Sailboat</t>
        </is>
      </c>
      <c r="D61" s="4" t="n">
        <v>16</v>
      </c>
      <c r="E61" s="4" t="n"/>
      <c r="F61" s="4" t="n">
        <v>52.4</v>
      </c>
      <c r="G61" s="4" t="n"/>
      <c r="H61" s="4" t="n">
        <v>32.9</v>
      </c>
      <c r="I61" s="4" t="n">
        <v>0</v>
      </c>
      <c r="J61" s="4" t="n">
        <v>0</v>
      </c>
      <c r="K61" s="2">
        <f>IF(OR(E61="",D61=""),"",E61/D61)</f>
        <v/>
      </c>
      <c r="L61" s="2">
        <f>IF(OR(F61="",G61="",D61=""),"",F61*G61/D61)</f>
        <v/>
      </c>
      <c r="M61" s="2">
        <f>IFERROR(IF(K61="","",(K61-MIN($K$2:$K$127))/(MAX($K$2:$K$127)-MIN($K$2:$K$127))),"")</f>
        <v/>
      </c>
      <c r="N61" s="2">
        <f>IFERROR(IF(L61="","",(L61-MIN($L$2:$L$127))/(MAX($L$2:$L$127)-MIN($L$2:$L$127))),"")</f>
        <v/>
      </c>
      <c r="O61" s="2">
        <f>IFERROR(IF(H61="","",(MAX($H$2:$H$127)-H61)/(MAX($H$2:$H$127)-MIN($H$2:$H$127))),"")</f>
        <v/>
      </c>
      <c r="P61" s="2">
        <f>Ww_citizen*IF(I61="",0,I61)+Ww_farm*IF(J61="",0,J61)+Ww_service*IF(M61="",0,M61)+Ww_space*IF(N61="",0,N61)+Ww_nav*IF(O61="",0,O61)</f>
        <v/>
      </c>
      <c r="Q61" s="2">
        <f>IFERROR(ROUND(100*(P61-MIN($P$2:$P$127))/(MAX($P$2:$P$127)-MIN($P$2:$P$127)),1),"")</f>
        <v/>
      </c>
      <c r="R61" t="inlineStr">
        <is>
          <t>no_engine_data, missing_beam_m, missing_crew_count, missing_price_per_day</t>
        </is>
      </c>
    </row>
    <row r="62">
      <c r="A62" s="2">
        <f>IF(Q62="","",RANK(Q62,$Q$2:$Q$127))</f>
        <v/>
      </c>
      <c r="B62" t="inlineStr">
        <is>
          <t>Archipel I</t>
        </is>
      </c>
      <c r="C62" t="inlineStr">
        <is>
          <t>Catamaran</t>
        </is>
      </c>
      <c r="D62" s="4" t="n">
        <v>16</v>
      </c>
      <c r="E62" s="4" t="n">
        <v>9</v>
      </c>
      <c r="F62" s="4" t="n">
        <v>27</v>
      </c>
      <c r="G62" s="4" t="n">
        <v>11</v>
      </c>
      <c r="H62" s="4" t="n"/>
      <c r="I62" s="4" t="n">
        <v>0</v>
      </c>
      <c r="J62" s="4" t="n">
        <v>0</v>
      </c>
      <c r="K62" s="2">
        <f>IF(OR(E62="",D62=""),"",E62/D62)</f>
        <v/>
      </c>
      <c r="L62" s="2">
        <f>IF(OR(F62="",G62="",D62=""),"",F62*G62/D62)</f>
        <v/>
      </c>
      <c r="M62" s="2">
        <f>IFERROR(IF(K62="","",(K62-MIN($K$2:$K$127))/(MAX($K$2:$K$127)-MIN($K$2:$K$127))),"")</f>
        <v/>
      </c>
      <c r="N62" s="2">
        <f>IFERROR(IF(L62="","",(L62-MIN($L$2:$L$127))/(MAX($L$2:$L$127)-MIN($L$2:$L$127))),"")</f>
        <v/>
      </c>
      <c r="O62" s="2">
        <f>IFERROR(IF(H62="","",(MAX($H$2:$H$127)-H62)/(MAX($H$2:$H$127)-MIN($H$2:$H$127))),"")</f>
        <v/>
      </c>
      <c r="P62" s="2">
        <f>Ww_citizen*IF(I62="",0,I62)+Ww_farm*IF(J62="",0,J62)+Ww_service*IF(M62="",0,M62)+Ww_space*IF(N62="",0,N62)+Ww_nav*IF(O62="",0,O62)</f>
        <v/>
      </c>
      <c r="Q62" s="2">
        <f>IFERROR(ROUND(100*(P62-MIN($P$2:$P$127))/(MAX($P$2:$P$127)-MIN($P$2:$P$127)),1),"")</f>
        <v/>
      </c>
      <c r="R62" t="inlineStr"/>
    </row>
    <row r="63">
      <c r="A63" s="2">
        <f>IF(Q63="","",RANK(Q63,$Q$2:$Q$127))</f>
        <v/>
      </c>
      <c r="B63" t="inlineStr">
        <is>
          <t>Fragata</t>
        </is>
      </c>
      <c r="C63" t="inlineStr">
        <is>
          <t>Yacht</t>
        </is>
      </c>
      <c r="D63" s="4" t="n">
        <v>16</v>
      </c>
      <c r="E63" s="4" t="n">
        <v>4</v>
      </c>
      <c r="F63" s="4" t="n">
        <v>22</v>
      </c>
      <c r="G63" s="4" t="n"/>
      <c r="H63" s="4" t="n">
        <v>36</v>
      </c>
      <c r="I63" s="4" t="n">
        <v>0</v>
      </c>
      <c r="J63" s="4" t="n">
        <v>0</v>
      </c>
      <c r="K63" s="2">
        <f>IF(OR(E63="",D63=""),"",E63/D63)</f>
        <v/>
      </c>
      <c r="L63" s="2">
        <f>IF(OR(F63="",G63="",D63=""),"",F63*G63/D63)</f>
        <v/>
      </c>
      <c r="M63" s="2">
        <f>IFERROR(IF(K63="","",(K63-MIN($K$2:$K$127))/(MAX($K$2:$K$127)-MIN($K$2:$K$127))),"")</f>
        <v/>
      </c>
      <c r="N63" s="2">
        <f>IFERROR(IF(L63="","",(L63-MIN($L$2:$L$127))/(MAX($L$2:$L$127)-MIN($L$2:$L$127))),"")</f>
        <v/>
      </c>
      <c r="O63" s="2">
        <f>IFERROR(IF(H63="","",(MAX($H$2:$H$127)-H63)/(MAX($H$2:$H$127)-MIN($H$2:$H$127))),"")</f>
        <v/>
      </c>
      <c r="P63" s="2">
        <f>Ww_citizen*IF(I63="",0,I63)+Ww_farm*IF(J63="",0,J63)+Ww_service*IF(M63="",0,M63)+Ww_space*IF(N63="",0,N63)+Ww_nav*IF(O63="",0,O63)</f>
        <v/>
      </c>
      <c r="Q63" s="2">
        <f>IFERROR(ROUND(100*(P63-MIN($P$2:$P$127))/(MAX($P$2:$P$127)-MIN($P$2:$P$127)),1),"")</f>
        <v/>
      </c>
      <c r="R63" t="inlineStr">
        <is>
          <t>missing_beam_m</t>
        </is>
      </c>
    </row>
    <row r="64">
      <c r="A64" s="2">
        <f>IF(Q64="","",RANK(Q64,$Q$2:$Q$127))</f>
        <v/>
      </c>
      <c r="B64" t="inlineStr">
        <is>
          <t>Beluga</t>
        </is>
      </c>
      <c r="C64" t="inlineStr">
        <is>
          <t>Yacht</t>
        </is>
      </c>
      <c r="D64" s="4" t="n">
        <v>16</v>
      </c>
      <c r="E64" s="4" t="n">
        <v>3</v>
      </c>
      <c r="F64" s="4" t="n">
        <v>34</v>
      </c>
      <c r="G64" s="4" t="n">
        <v>7</v>
      </c>
      <c r="H64" s="4" t="n">
        <v>38</v>
      </c>
      <c r="I64" s="4" t="n">
        <v>0</v>
      </c>
      <c r="J64" s="4" t="n">
        <v>0</v>
      </c>
      <c r="K64" s="2">
        <f>IF(OR(E64="",D64=""),"",E64/D64)</f>
        <v/>
      </c>
      <c r="L64" s="2">
        <f>IF(OR(F64="",G64="",D64=""),"",F64*G64/D64)</f>
        <v/>
      </c>
      <c r="M64" s="2">
        <f>IFERROR(IF(K64="","",(K64-MIN($K$2:$K$127))/(MAX($K$2:$K$127)-MIN($K$2:$K$127))),"")</f>
        <v/>
      </c>
      <c r="N64" s="2">
        <f>IFERROR(IF(L64="","",(L64-MIN($L$2:$L$127))/(MAX($L$2:$L$127)-MIN($L$2:$L$127))),"")</f>
        <v/>
      </c>
      <c r="O64" s="2">
        <f>IFERROR(IF(H64="","",(MAX($H$2:$H$127)-H64)/(MAX($H$2:$H$127)-MIN($H$2:$H$127))),"")</f>
        <v/>
      </c>
      <c r="P64" s="2">
        <f>Ww_citizen*IF(I64="",0,I64)+Ww_farm*IF(J64="",0,J64)+Ww_service*IF(M64="",0,M64)+Ww_space*IF(N64="",0,N64)+Ww_nav*IF(O64="",0,O64)</f>
        <v/>
      </c>
      <c r="Q64" s="2">
        <f>IFERROR(ROUND(100*(P64-MIN($P$2:$P$127))/(MAX($P$2:$P$127)-MIN($P$2:$P$127)),1),"")</f>
        <v/>
      </c>
      <c r="R64" t="inlineStr"/>
    </row>
    <row r="65">
      <c r="A65" s="2">
        <f>IF(Q65="","",RANK(Q65,$Q$2:$Q$127))</f>
        <v/>
      </c>
      <c r="B65" t="inlineStr">
        <is>
          <t>Odyssey</t>
        </is>
      </c>
      <c r="C65" t="inlineStr">
        <is>
          <t>Small Yacht</t>
        </is>
      </c>
      <c r="D65" s="4" t="n">
        <v>16</v>
      </c>
      <c r="E65" s="4" t="n"/>
      <c r="F65" s="4" t="n">
        <v>40.8</v>
      </c>
      <c r="G65" s="4" t="n"/>
      <c r="H65" s="4" t="n">
        <v>33.1</v>
      </c>
      <c r="I65" s="4" t="n">
        <v>0</v>
      </c>
      <c r="J65" s="4" t="n">
        <v>0</v>
      </c>
      <c r="K65" s="2">
        <f>IF(OR(E65="",D65=""),"",E65/D65)</f>
        <v/>
      </c>
      <c r="L65" s="2">
        <f>IF(OR(F65="",G65="",D65=""),"",F65*G65/D65)</f>
        <v/>
      </c>
      <c r="M65" s="2">
        <f>IFERROR(IF(K65="","",(K65-MIN($K$2:$K$127))/(MAX($K$2:$K$127)-MIN($K$2:$K$127))),"")</f>
        <v/>
      </c>
      <c r="N65" s="2">
        <f>IFERROR(IF(L65="","",(L65-MIN($L$2:$L$127))/(MAX($L$2:$L$127)-MIN($L$2:$L$127))),"")</f>
        <v/>
      </c>
      <c r="O65" s="2">
        <f>IFERROR(IF(H65="","",(MAX($H$2:$H$127)-H65)/(MAX($H$2:$H$127)-MIN($H$2:$H$127))),"")</f>
        <v/>
      </c>
      <c r="P65" s="2">
        <f>Ww_citizen*IF(I65="",0,I65)+Ww_farm*IF(J65="",0,J65)+Ww_service*IF(M65="",0,M65)+Ww_space*IF(N65="",0,N65)+Ww_nav*IF(O65="",0,O65)</f>
        <v/>
      </c>
      <c r="Q65" s="2">
        <f>IFERROR(ROUND(100*(P65-MIN($P$2:$P$127))/(MAX($P$2:$P$127)-MIN($P$2:$P$127)),1),"")</f>
        <v/>
      </c>
      <c r="R65" t="inlineStr">
        <is>
          <t>no_engine_data, missing_beam_m, missing_crew_count, missing_price_per_day</t>
        </is>
      </c>
    </row>
    <row r="66">
      <c r="A66" s="2">
        <f>IF(Q66="","",RANK(Q66,$Q$2:$Q$127))</f>
        <v/>
      </c>
      <c r="B66" t="inlineStr">
        <is>
          <t>Ecogalaxy</t>
        </is>
      </c>
      <c r="C66" t="inlineStr">
        <is>
          <t>Catamaran</t>
        </is>
      </c>
      <c r="D66" s="4" t="n">
        <v>16</v>
      </c>
      <c r="E66" s="4" t="n"/>
      <c r="F66" s="4" t="n"/>
      <c r="G66" s="4" t="n"/>
      <c r="H66" s="4" t="n">
        <v>33.3</v>
      </c>
      <c r="I66" s="4" t="n">
        <v>0</v>
      </c>
      <c r="J66" s="4" t="n">
        <v>0</v>
      </c>
      <c r="K66" s="2">
        <f>IF(OR(E66="",D66=""),"",E66/D66)</f>
        <v/>
      </c>
      <c r="L66" s="2">
        <f>IF(OR(F66="",G66="",D66=""),"",F66*G66/D66)</f>
        <v/>
      </c>
      <c r="M66" s="2">
        <f>IFERROR(IF(K66="","",(K66-MIN($K$2:$K$127))/(MAX($K$2:$K$127)-MIN($K$2:$K$127))),"")</f>
        <v/>
      </c>
      <c r="N66" s="2">
        <f>IFERROR(IF(L66="","",(L66-MIN($L$2:$L$127))/(MAX($L$2:$L$127)-MIN($L$2:$L$127))),"")</f>
        <v/>
      </c>
      <c r="O66" s="2">
        <f>IFERROR(IF(H66="","",(MAX($H$2:$H$127)-H66)/(MAX($H$2:$H$127)-MIN($H$2:$H$127))),"")</f>
        <v/>
      </c>
      <c r="P66" s="2">
        <f>Ww_citizen*IF(I66="",0,I66)+Ww_farm*IF(J66="",0,J66)+Ww_service*IF(M66="",0,M66)+Ww_space*IF(N66="",0,N66)+Ww_nav*IF(O66="",0,O66)</f>
        <v/>
      </c>
      <c r="Q66" s="2">
        <f>IFERROR(ROUND(100*(P66-MIN($P$2:$P$127))/(MAX($P$2:$P$127)-MIN($P$2:$P$127)),1),"")</f>
        <v/>
      </c>
      <c r="R66" t="inlineStr">
        <is>
          <t>no_engine_data, missing_length_m, missing_beam_m, missing_speed_kn, missing_crew_count, missing_price_per_day</t>
        </is>
      </c>
    </row>
    <row r="67">
      <c r="A67" s="2">
        <f>IF(Q67="","",RANK(Q67,$Q$2:$Q$127))</f>
        <v/>
      </c>
      <c r="B67" t="inlineStr">
        <is>
          <t>Galapagos Legend</t>
        </is>
      </c>
      <c r="C67" t="inlineStr">
        <is>
          <t>Ship</t>
        </is>
      </c>
      <c r="D67" s="4" t="n">
        <v>100</v>
      </c>
      <c r="E67" s="4" t="n">
        <v>2</v>
      </c>
      <c r="F67" s="4" t="n">
        <v>92</v>
      </c>
      <c r="G67" s="4" t="n">
        <v>15</v>
      </c>
      <c r="H67" s="4" t="n">
        <v>36</v>
      </c>
      <c r="I67" s="4" t="n">
        <v>0</v>
      </c>
      <c r="J67" s="4" t="n">
        <v>0</v>
      </c>
      <c r="K67" s="2">
        <f>IF(OR(E67="",D67=""),"",E67/D67)</f>
        <v/>
      </c>
      <c r="L67" s="2">
        <f>IF(OR(F67="",G67="",D67=""),"",F67*G67/D67)</f>
        <v/>
      </c>
      <c r="M67" s="2">
        <f>IFERROR(IF(K67="","",(K67-MIN($K$2:$K$127))/(MAX($K$2:$K$127)-MIN($K$2:$K$127))),"")</f>
        <v/>
      </c>
      <c r="N67" s="2">
        <f>IFERROR(IF(L67="","",(L67-MIN($L$2:$L$127))/(MAX($L$2:$L$127)-MIN($L$2:$L$127))),"")</f>
        <v/>
      </c>
      <c r="O67" s="2">
        <f>IFERROR(IF(H67="","",(MAX($H$2:$H$127)-H67)/(MAX($H$2:$H$127)-MIN($H$2:$H$127))),"")</f>
        <v/>
      </c>
      <c r="P67" s="2">
        <f>Ww_citizen*IF(I67="",0,I67)+Ww_farm*IF(J67="",0,J67)+Ww_service*IF(M67="",0,M67)+Ww_space*IF(N67="",0,N67)+Ww_nav*IF(O67="",0,O67)</f>
        <v/>
      </c>
      <c r="Q67" s="2">
        <f>IFERROR(ROUND(100*(P67-MIN($P$2:$P$127))/(MAX($P$2:$P$127)-MIN($P$2:$P$127)),1),"")</f>
        <v/>
      </c>
      <c r="R67" t="inlineStr"/>
    </row>
    <row r="68">
      <c r="A68" s="2">
        <f>IF(Q68="","",RANK(Q68,$Q$2:$Q$127))</f>
        <v/>
      </c>
      <c r="B68" t="inlineStr">
        <is>
          <t>Camila</t>
        </is>
      </c>
      <c r="C68" t="inlineStr">
        <is>
          <t>Monohull</t>
        </is>
      </c>
      <c r="D68" s="4" t="n">
        <v>16</v>
      </c>
      <c r="E68" s="4" t="n"/>
      <c r="F68" s="4" t="n"/>
      <c r="G68" s="4" t="n"/>
      <c r="H68" s="4" t="n">
        <v>33.8</v>
      </c>
      <c r="I68" s="4" t="n">
        <v>0</v>
      </c>
      <c r="J68" s="4" t="n">
        <v>0</v>
      </c>
      <c r="K68" s="2">
        <f>IF(OR(E68="",D68=""),"",E68/D68)</f>
        <v/>
      </c>
      <c r="L68" s="2">
        <f>IF(OR(F68="",G68="",D68=""),"",F68*G68/D68)</f>
        <v/>
      </c>
      <c r="M68" s="2">
        <f>IFERROR(IF(K68="","",(K68-MIN($K$2:$K$127))/(MAX($K$2:$K$127)-MIN($K$2:$K$127))),"")</f>
        <v/>
      </c>
      <c r="N68" s="2">
        <f>IFERROR(IF(L68="","",(L68-MIN($L$2:$L$127))/(MAX($L$2:$L$127)-MIN($L$2:$L$127))),"")</f>
        <v/>
      </c>
      <c r="O68" s="2">
        <f>IFERROR(IF(H68="","",(MAX($H$2:$H$127)-H68)/(MAX($H$2:$H$127)-MIN($H$2:$H$127))),"")</f>
        <v/>
      </c>
      <c r="P68" s="2">
        <f>Ww_citizen*IF(I68="",0,I68)+Ww_farm*IF(J68="",0,J68)+Ww_service*IF(M68="",0,M68)+Ww_space*IF(N68="",0,N68)+Ww_nav*IF(O68="",0,O68)</f>
        <v/>
      </c>
      <c r="Q68" s="2">
        <f>IFERROR(ROUND(100*(P68-MIN($P$2:$P$127))/(MAX($P$2:$P$127)-MIN($P$2:$P$127)),1),"")</f>
        <v/>
      </c>
      <c r="R68" t="inlineStr">
        <is>
          <t>no_engine_data, missing_length_m, missing_beam_m, missing_speed_kn, missing_crew_count, missing_price_per_day</t>
        </is>
      </c>
    </row>
    <row r="69">
      <c r="A69" s="2">
        <f>IF(Q69="","",RANK(Q69,$Q$2:$Q$127))</f>
        <v/>
      </c>
      <c r="B69" t="inlineStr">
        <is>
          <t>ARCHIPELL II</t>
        </is>
      </c>
      <c r="C69" t="inlineStr">
        <is>
          <t>Catamaran</t>
        </is>
      </c>
      <c r="D69" s="4" t="n">
        <v>16</v>
      </c>
      <c r="E69" s="4" t="n"/>
      <c r="F69" s="4" t="n"/>
      <c r="G69" s="4" t="n"/>
      <c r="H69" s="4" t="n">
        <v>33.9</v>
      </c>
      <c r="I69" s="4" t="n">
        <v>0</v>
      </c>
      <c r="J69" s="4" t="n">
        <v>0</v>
      </c>
      <c r="K69" s="2">
        <f>IF(OR(E69="",D69=""),"",E69/D69)</f>
        <v/>
      </c>
      <c r="L69" s="2">
        <f>IF(OR(F69="",G69="",D69=""),"",F69*G69/D69)</f>
        <v/>
      </c>
      <c r="M69" s="2">
        <f>IFERROR(IF(K69="","",(K69-MIN($K$2:$K$127))/(MAX($K$2:$K$127)-MIN($K$2:$K$127))),"")</f>
        <v/>
      </c>
      <c r="N69" s="2">
        <f>IFERROR(IF(L69="","",(L69-MIN($L$2:$L$127))/(MAX($L$2:$L$127)-MIN($L$2:$L$127))),"")</f>
        <v/>
      </c>
      <c r="O69" s="2">
        <f>IFERROR(IF(H69="","",(MAX($H$2:$H$127)-H69)/(MAX($H$2:$H$127)-MIN($H$2:$H$127))),"")</f>
        <v/>
      </c>
      <c r="P69" s="2">
        <f>Ww_citizen*IF(I69="",0,I69)+Ww_farm*IF(J69="",0,J69)+Ww_service*IF(M69="",0,M69)+Ww_space*IF(N69="",0,N69)+Ww_nav*IF(O69="",0,O69)</f>
        <v/>
      </c>
      <c r="Q69" s="2">
        <f>IFERROR(ROUND(100*(P69-MIN($P$2:$P$127))/(MAX($P$2:$P$127)-MIN($P$2:$P$127)),1),"")</f>
        <v/>
      </c>
      <c r="R69" t="inlineStr">
        <is>
          <t>no_engine_data, missing_length_m, missing_beam_m, missing_speed_kn, missing_crew_count, missing_price_per_day</t>
        </is>
      </c>
    </row>
    <row r="70">
      <c r="A70" s="2">
        <f>IF(Q70="","",RANK(Q70,$Q$2:$Q$127))</f>
        <v/>
      </c>
      <c r="B70" t="inlineStr">
        <is>
          <t>King of the Sea</t>
        </is>
      </c>
      <c r="C70" t="inlineStr">
        <is>
          <t>Monohull</t>
        </is>
      </c>
      <c r="D70" s="4" t="n">
        <v>12</v>
      </c>
      <c r="E70" s="4" t="n"/>
      <c r="F70" s="4" t="n"/>
      <c r="G70" s="4" t="n"/>
      <c r="H70" s="4" t="n">
        <v>34.1</v>
      </c>
      <c r="I70" s="4" t="n">
        <v>0</v>
      </c>
      <c r="J70" s="4" t="n">
        <v>0</v>
      </c>
      <c r="K70" s="2">
        <f>IF(OR(E70="",D70=""),"",E70/D70)</f>
        <v/>
      </c>
      <c r="L70" s="2">
        <f>IF(OR(F70="",G70="",D70=""),"",F70*G70/D70)</f>
        <v/>
      </c>
      <c r="M70" s="2">
        <f>IFERROR(IF(K70="","",(K70-MIN($K$2:$K$127))/(MAX($K$2:$K$127)-MIN($K$2:$K$127))),"")</f>
        <v/>
      </c>
      <c r="N70" s="2">
        <f>IFERROR(IF(L70="","",(L70-MIN($L$2:$L$127))/(MAX($L$2:$L$127)-MIN($L$2:$L$127))),"")</f>
        <v/>
      </c>
      <c r="O70" s="2">
        <f>IFERROR(IF(H70="","",(MAX($H$2:$H$127)-H70)/(MAX($H$2:$H$127)-MIN($H$2:$H$127))),"")</f>
        <v/>
      </c>
      <c r="P70" s="2">
        <f>Ww_citizen*IF(I70="",0,I70)+Ww_farm*IF(J70="",0,J70)+Ww_service*IF(M70="",0,M70)+Ww_space*IF(N70="",0,N70)+Ww_nav*IF(O70="",0,O70)</f>
        <v/>
      </c>
      <c r="Q70" s="2">
        <f>IFERROR(ROUND(100*(P70-MIN($P$2:$P$127))/(MAX($P$2:$P$127)-MIN($P$2:$P$127)),1),"")</f>
        <v/>
      </c>
      <c r="R70" t="inlineStr">
        <is>
          <t>no_engine_data, missing_length_m, missing_beam_m, missing_speed_kn, missing_crew_count, missing_price_per_day</t>
        </is>
      </c>
    </row>
    <row r="71">
      <c r="A71" s="2">
        <f>IF(Q71="","",RANK(Q71,$Q$2:$Q$127))</f>
        <v/>
      </c>
      <c r="B71" t="inlineStr">
        <is>
          <t>SEA MAN JOURNEY</t>
        </is>
      </c>
      <c r="C71" t="inlineStr">
        <is>
          <t>Catamaran</t>
        </is>
      </c>
      <c r="D71" s="4" t="n">
        <v>16</v>
      </c>
      <c r="E71" s="4" t="n"/>
      <c r="F71" s="4" t="n"/>
      <c r="G71" s="4" t="n"/>
      <c r="H71" s="4" t="n">
        <v>34.1</v>
      </c>
      <c r="I71" s="4" t="n">
        <v>0</v>
      </c>
      <c r="J71" s="4" t="n">
        <v>0</v>
      </c>
      <c r="K71" s="2">
        <f>IF(OR(E71="",D71=""),"",E71/D71)</f>
        <v/>
      </c>
      <c r="L71" s="2">
        <f>IF(OR(F71="",G71="",D71=""),"",F71*G71/D71)</f>
        <v/>
      </c>
      <c r="M71" s="2">
        <f>IFERROR(IF(K71="","",(K71-MIN($K$2:$K$127))/(MAX($K$2:$K$127)-MIN($K$2:$K$127))),"")</f>
        <v/>
      </c>
      <c r="N71" s="2">
        <f>IFERROR(IF(L71="","",(L71-MIN($L$2:$L$127))/(MAX($L$2:$L$127)-MIN($L$2:$L$127))),"")</f>
        <v/>
      </c>
      <c r="O71" s="2">
        <f>IFERROR(IF(H71="","",(MAX($H$2:$H$127)-H71)/(MAX($H$2:$H$127)-MIN($H$2:$H$127))),"")</f>
        <v/>
      </c>
      <c r="P71" s="2">
        <f>Ww_citizen*IF(I71="",0,I71)+Ww_farm*IF(J71="",0,J71)+Ww_service*IF(M71="",0,M71)+Ww_space*IF(N71="",0,N71)+Ww_nav*IF(O71="",0,O71)</f>
        <v/>
      </c>
      <c r="Q71" s="2">
        <f>IFERROR(ROUND(100*(P71-MIN($P$2:$P$127))/(MAX($P$2:$P$127)-MIN($P$2:$P$127)),1),"")</f>
        <v/>
      </c>
      <c r="R71" t="inlineStr">
        <is>
          <t>no_engine_data, missing_length_m, missing_beam_m, missing_speed_kn, missing_crew_count, missing_price_per_day</t>
        </is>
      </c>
    </row>
    <row r="72">
      <c r="A72" s="2">
        <f>IF(Q72="","",RANK(Q72,$Q$2:$Q$127))</f>
        <v/>
      </c>
      <c r="B72" t="inlineStr">
        <is>
          <t>Integrity</t>
        </is>
      </c>
      <c r="C72" t="inlineStr">
        <is>
          <t>Yacht</t>
        </is>
      </c>
      <c r="D72" s="4" t="n">
        <v>16</v>
      </c>
      <c r="E72" s="4" t="n"/>
      <c r="F72" s="4" t="n">
        <v>43</v>
      </c>
      <c r="G72" s="4" t="n">
        <v>3</v>
      </c>
      <c r="H72" s="4" t="n">
        <v>35.6</v>
      </c>
      <c r="I72" s="4" t="n">
        <v>0</v>
      </c>
      <c r="J72" s="4" t="n">
        <v>0</v>
      </c>
      <c r="K72" s="2">
        <f>IF(OR(E72="",D72=""),"",E72/D72)</f>
        <v/>
      </c>
      <c r="L72" s="2">
        <f>IF(OR(F72="",G72="",D72=""),"",F72*G72/D72)</f>
        <v/>
      </c>
      <c r="M72" s="2">
        <f>IFERROR(IF(K72="","",(K72-MIN($K$2:$K$127))/(MAX($K$2:$K$127)-MIN($K$2:$K$127))),"")</f>
        <v/>
      </c>
      <c r="N72" s="2">
        <f>IFERROR(IF(L72="","",(L72-MIN($L$2:$L$127))/(MAX($L$2:$L$127)-MIN($L$2:$L$127))),"")</f>
        <v/>
      </c>
      <c r="O72" s="2">
        <f>IFERROR(IF(H72="","",(MAX($H$2:$H$127)-H72)/(MAX($H$2:$H$127)-MIN($H$2:$H$127))),"")</f>
        <v/>
      </c>
      <c r="P72" s="2">
        <f>Ww_citizen*IF(I72="",0,I72)+Ww_farm*IF(J72="",0,J72)+Ww_service*IF(M72="",0,M72)+Ww_space*IF(N72="",0,N72)+Ww_nav*IF(O72="",0,O72)</f>
        <v/>
      </c>
      <c r="Q72" s="2">
        <f>IFERROR(ROUND(100*(P72-MIN($P$2:$P$127))/(MAX($P$2:$P$127)-MIN($P$2:$P$127)),1),"")</f>
        <v/>
      </c>
      <c r="R72" t="inlineStr">
        <is>
          <t>missing_crew_count, missing_price_per_day</t>
        </is>
      </c>
    </row>
    <row r="73">
      <c r="A73" s="2">
        <f>IF(Q73="","",RANK(Q73,$Q$2:$Q$127))</f>
        <v/>
      </c>
      <c r="B73" t="inlineStr">
        <is>
          <t>Archipell I</t>
        </is>
      </c>
      <c r="C73" t="inlineStr">
        <is>
          <t>Motor Catamaran</t>
        </is>
      </c>
      <c r="D73" s="4" t="n">
        <v>16</v>
      </c>
      <c r="E73" s="4" t="n"/>
      <c r="F73" s="4" t="n"/>
      <c r="G73" s="4" t="n">
        <v>8</v>
      </c>
      <c r="H73" s="4" t="n">
        <v>34.6</v>
      </c>
      <c r="I73" s="4" t="n">
        <v>0</v>
      </c>
      <c r="J73" s="4" t="n">
        <v>0</v>
      </c>
      <c r="K73" s="2">
        <f>IF(OR(E73="",D73=""),"",E73/D73)</f>
        <v/>
      </c>
      <c r="L73" s="2">
        <f>IF(OR(F73="",G73="",D73=""),"",F73*G73/D73)</f>
        <v/>
      </c>
      <c r="M73" s="2">
        <f>IFERROR(IF(K73="","",(K73-MIN($K$2:$K$127))/(MAX($K$2:$K$127)-MIN($K$2:$K$127))),"")</f>
        <v/>
      </c>
      <c r="N73" s="2">
        <f>IFERROR(IF(L73="","",(L73-MIN($L$2:$L$127))/(MAX($L$2:$L$127)-MIN($L$2:$L$127))),"")</f>
        <v/>
      </c>
      <c r="O73" s="2">
        <f>IFERROR(IF(H73="","",(MAX($H$2:$H$127)-H73)/(MAX($H$2:$H$127)-MIN($H$2:$H$127))),"")</f>
        <v/>
      </c>
      <c r="P73" s="2">
        <f>Ww_citizen*IF(I73="",0,I73)+Ww_farm*IF(J73="",0,J73)+Ww_service*IF(M73="",0,M73)+Ww_space*IF(N73="",0,N73)+Ww_nav*IF(O73="",0,O73)</f>
        <v/>
      </c>
      <c r="Q73" s="2">
        <f>IFERROR(ROUND(100*(P73-MIN($P$2:$P$127))/(MAX($P$2:$P$127)-MIN($P$2:$P$127)),1),"")</f>
        <v/>
      </c>
      <c r="R73" t="inlineStr">
        <is>
          <t>length_out_of_range, no_engine_data, missing_length_m, missing_crew_count, missing_price_per_day</t>
        </is>
      </c>
    </row>
    <row r="74">
      <c r="A74" s="2">
        <f>IF(Q74="","",RANK(Q74,$Q$2:$Q$127))</f>
        <v/>
      </c>
      <c r="B74" t="inlineStr">
        <is>
          <t>Cormorant II</t>
        </is>
      </c>
      <c r="C74" t="inlineStr">
        <is>
          <t>Motor Catamaran</t>
        </is>
      </c>
      <c r="D74" s="4" t="n">
        <v>16</v>
      </c>
      <c r="E74" s="4" t="n"/>
      <c r="F74" s="4" t="n">
        <v>48</v>
      </c>
      <c r="G74" s="4" t="n">
        <v>14</v>
      </c>
      <c r="H74" s="4" t="n"/>
      <c r="I74" s="4" t="n">
        <v>0</v>
      </c>
      <c r="J74" s="4" t="n">
        <v>0</v>
      </c>
      <c r="K74" s="2">
        <f>IF(OR(E74="",D74=""),"",E74/D74)</f>
        <v/>
      </c>
      <c r="L74" s="2">
        <f>IF(OR(F74="",G74="",D74=""),"",F74*G74/D74)</f>
        <v/>
      </c>
      <c r="M74" s="2">
        <f>IFERROR(IF(K74="","",(K74-MIN($K$2:$K$127))/(MAX($K$2:$K$127)-MIN($K$2:$K$127))),"")</f>
        <v/>
      </c>
      <c r="N74" s="2">
        <f>IFERROR(IF(L74="","",(L74-MIN($L$2:$L$127))/(MAX($L$2:$L$127)-MIN($L$2:$L$127))),"")</f>
        <v/>
      </c>
      <c r="O74" s="2">
        <f>IFERROR(IF(H74="","",(MAX($H$2:$H$127)-H74)/(MAX($H$2:$H$127)-MIN($H$2:$H$127))),"")</f>
        <v/>
      </c>
      <c r="P74" s="2">
        <f>Ww_citizen*IF(I74="",0,I74)+Ww_farm*IF(J74="",0,J74)+Ww_service*IF(M74="",0,M74)+Ww_space*IF(N74="",0,N74)+Ww_nav*IF(O74="",0,O74)</f>
        <v/>
      </c>
      <c r="Q74" s="2">
        <f>IFERROR(ROUND(100*(P74-MIN($P$2:$P$127))/(MAX($P$2:$P$127)-MIN($P$2:$P$127)),1),"")</f>
        <v/>
      </c>
      <c r="R74" t="inlineStr">
        <is>
          <t>no_engine_data, missing_crew_count, missing_price_per_day</t>
        </is>
      </c>
    </row>
    <row r="75">
      <c r="A75" s="2">
        <f>IF(Q75="","",RANK(Q75,$Q$2:$Q$127))</f>
        <v/>
      </c>
      <c r="B75" t="inlineStr">
        <is>
          <t>Estrella de Mar</t>
        </is>
      </c>
      <c r="C75" t="inlineStr">
        <is>
          <t>Monohull</t>
        </is>
      </c>
      <c r="D75" s="4" t="n">
        <v>16</v>
      </c>
      <c r="E75" s="4" t="n"/>
      <c r="F75" s="4" t="n"/>
      <c r="G75" s="4" t="n"/>
      <c r="H75" s="4" t="n">
        <v>34.7</v>
      </c>
      <c r="I75" s="4" t="n">
        <v>0</v>
      </c>
      <c r="J75" s="4" t="n">
        <v>0</v>
      </c>
      <c r="K75" s="2">
        <f>IF(OR(E75="",D75=""),"",E75/D75)</f>
        <v/>
      </c>
      <c r="L75" s="2">
        <f>IF(OR(F75="",G75="",D75=""),"",F75*G75/D75)</f>
        <v/>
      </c>
      <c r="M75" s="2">
        <f>IFERROR(IF(K75="","",(K75-MIN($K$2:$K$127))/(MAX($K$2:$K$127)-MIN($K$2:$K$127))),"")</f>
        <v/>
      </c>
      <c r="N75" s="2">
        <f>IFERROR(IF(L75="","",(L75-MIN($L$2:$L$127))/(MAX($L$2:$L$127)-MIN($L$2:$L$127))),"")</f>
        <v/>
      </c>
      <c r="O75" s="2">
        <f>IFERROR(IF(H75="","",(MAX($H$2:$H$127)-H75)/(MAX($H$2:$H$127)-MIN($H$2:$H$127))),"")</f>
        <v/>
      </c>
      <c r="P75" s="2">
        <f>Ww_citizen*IF(I75="",0,I75)+Ww_farm*IF(J75="",0,J75)+Ww_service*IF(M75="",0,M75)+Ww_space*IF(N75="",0,N75)+Ww_nav*IF(O75="",0,O75)</f>
        <v/>
      </c>
      <c r="Q75" s="2">
        <f>IFERROR(ROUND(100*(P75-MIN($P$2:$P$127))/(MAX($P$2:$P$127)-MIN($P$2:$P$127)),1),"")</f>
        <v/>
      </c>
      <c r="R75" t="inlineStr">
        <is>
          <t>no_engine_data, missing_length_m, missing_beam_m, missing_speed_kn, missing_crew_count, missing_price_per_day</t>
        </is>
      </c>
    </row>
    <row r="76">
      <c r="A76" s="2">
        <f>IF(Q76="","",RANK(Q76,$Q$2:$Q$127))</f>
        <v/>
      </c>
      <c r="B76" t="inlineStr">
        <is>
          <t>Floreana</t>
        </is>
      </c>
      <c r="C76" t="inlineStr">
        <is>
          <t>Small Yacht</t>
        </is>
      </c>
      <c r="D76" s="4" t="n">
        <v>16</v>
      </c>
      <c r="E76" s="4" t="n"/>
      <c r="F76" s="4" t="n">
        <v>23.8</v>
      </c>
      <c r="G76" s="4" t="n"/>
      <c r="H76" s="4" t="n">
        <v>34.7</v>
      </c>
      <c r="I76" s="4" t="n">
        <v>0</v>
      </c>
      <c r="J76" s="4" t="n">
        <v>0</v>
      </c>
      <c r="K76" s="2">
        <f>IF(OR(E76="",D76=""),"",E76/D76)</f>
        <v/>
      </c>
      <c r="L76" s="2">
        <f>IF(OR(F76="",G76="",D76=""),"",F76*G76/D76)</f>
        <v/>
      </c>
      <c r="M76" s="2">
        <f>IFERROR(IF(K76="","",(K76-MIN($K$2:$K$127))/(MAX($K$2:$K$127)-MIN($K$2:$K$127))),"")</f>
        <v/>
      </c>
      <c r="N76" s="2">
        <f>IFERROR(IF(L76="","",(L76-MIN($L$2:$L$127))/(MAX($L$2:$L$127)-MIN($L$2:$L$127))),"")</f>
        <v/>
      </c>
      <c r="O76" s="2">
        <f>IFERROR(IF(H76="","",(MAX($H$2:$H$127)-H76)/(MAX($H$2:$H$127)-MIN($H$2:$H$127))),"")</f>
        <v/>
      </c>
      <c r="P76" s="2">
        <f>Ww_citizen*IF(I76="",0,I76)+Ww_farm*IF(J76="",0,J76)+Ww_service*IF(M76="",0,M76)+Ww_space*IF(N76="",0,N76)+Ww_nav*IF(O76="",0,O76)</f>
        <v/>
      </c>
      <c r="Q76" s="2">
        <f>IFERROR(ROUND(100*(P76-MIN($P$2:$P$127))/(MAX($P$2:$P$127)-MIN($P$2:$P$127)),1),"")</f>
        <v/>
      </c>
      <c r="R76" t="inlineStr">
        <is>
          <t>no_engine_data, missing_beam_m, missing_crew_count, missing_price_per_day</t>
        </is>
      </c>
    </row>
    <row r="77">
      <c r="A77" s="2">
        <f>IF(Q77="","",RANK(Q77,$Q$2:$Q$127))</f>
        <v/>
      </c>
      <c r="B77" t="inlineStr">
        <is>
          <t>Monique</t>
        </is>
      </c>
      <c r="C77" t="inlineStr">
        <is>
          <t>Catamaran</t>
        </is>
      </c>
      <c r="D77" s="4" t="n">
        <v>16</v>
      </c>
      <c r="E77" s="4" t="n">
        <v>10</v>
      </c>
      <c r="F77" s="4" t="n">
        <v>12.8</v>
      </c>
      <c r="G77" s="4" t="n">
        <v>9</v>
      </c>
      <c r="H77" s="4" t="n"/>
      <c r="I77" s="4" t="n">
        <v>0</v>
      </c>
      <c r="J77" s="4" t="n">
        <v>0</v>
      </c>
      <c r="K77" s="2">
        <f>IF(OR(E77="",D77=""),"",E77/D77)</f>
        <v/>
      </c>
      <c r="L77" s="2">
        <f>IF(OR(F77="",G77="",D77=""),"",F77*G77/D77)</f>
        <v/>
      </c>
      <c r="M77" s="2">
        <f>IFERROR(IF(K77="","",(K77-MIN($K$2:$K$127))/(MAX($K$2:$K$127)-MIN($K$2:$K$127))),"")</f>
        <v/>
      </c>
      <c r="N77" s="2">
        <f>IFERROR(IF(L77="","",(L77-MIN($L$2:$L$127))/(MAX($L$2:$L$127)-MIN($L$2:$L$127))),"")</f>
        <v/>
      </c>
      <c r="O77" s="2">
        <f>IFERROR(IF(H77="","",(MAX($H$2:$H$127)-H77)/(MAX($H$2:$H$127)-MIN($H$2:$H$127))),"")</f>
        <v/>
      </c>
      <c r="P77" s="2">
        <f>Ww_citizen*IF(I77="",0,I77)+Ww_farm*IF(J77="",0,J77)+Ww_service*IF(M77="",0,M77)+Ww_space*IF(N77="",0,N77)+Ww_nav*IF(O77="",0,O77)</f>
        <v/>
      </c>
      <c r="Q77" s="2">
        <f>IFERROR(ROUND(100*(P77-MIN($P$2:$P$127))/(MAX($P$2:$P$127)-MIN($P$2:$P$127)),1),"")</f>
        <v/>
      </c>
      <c r="R77" t="inlineStr">
        <is>
          <t>length_ft_m_mismatch, no_engine_data</t>
        </is>
      </c>
    </row>
    <row r="78">
      <c r="A78" s="2">
        <f>IF(Q78="","",RANK(Q78,$Q$2:$Q$127))</f>
        <v/>
      </c>
      <c r="B78" t="inlineStr">
        <is>
          <t>Calipso</t>
        </is>
      </c>
      <c r="C78" t="inlineStr">
        <is>
          <t>Yacht</t>
        </is>
      </c>
      <c r="D78" s="4" t="n">
        <v>16</v>
      </c>
      <c r="E78" s="4" t="n">
        <v>11</v>
      </c>
      <c r="F78" s="4" t="n"/>
      <c r="G78" s="4" t="n">
        <v>5</v>
      </c>
      <c r="H78" s="4" t="n"/>
      <c r="I78" s="4" t="n">
        <v>0</v>
      </c>
      <c r="J78" s="4" t="n">
        <v>0</v>
      </c>
      <c r="K78" s="2">
        <f>IF(OR(E78="",D78=""),"",E78/D78)</f>
        <v/>
      </c>
      <c r="L78" s="2">
        <f>IF(OR(F78="",G78="",D78=""),"",F78*G78/D78)</f>
        <v/>
      </c>
      <c r="M78" s="2">
        <f>IFERROR(IF(K78="","",(K78-MIN($K$2:$K$127))/(MAX($K$2:$K$127)-MIN($K$2:$K$127))),"")</f>
        <v/>
      </c>
      <c r="N78" s="2">
        <f>IFERROR(IF(L78="","",(L78-MIN($L$2:$L$127))/(MAX($L$2:$L$127)-MIN($L$2:$L$127))),"")</f>
        <v/>
      </c>
      <c r="O78" s="2">
        <f>IFERROR(IF(H78="","",(MAX($H$2:$H$127)-H78)/(MAX($H$2:$H$127)-MIN($H$2:$H$127))),"")</f>
        <v/>
      </c>
      <c r="P78" s="2">
        <f>Ww_citizen*IF(I78="",0,I78)+Ww_farm*IF(J78="",0,J78)+Ww_service*IF(M78="",0,M78)+Ww_space*IF(N78="",0,N78)+Ww_nav*IF(O78="",0,O78)</f>
        <v/>
      </c>
      <c r="Q78" s="2">
        <f>IFERROR(ROUND(100*(P78-MIN($P$2:$P$127))/(MAX($P$2:$P$127)-MIN($P$2:$P$127)),1),"")</f>
        <v/>
      </c>
      <c r="R78" t="inlineStr">
        <is>
          <t>length_ft_m_mismatch, missing_length_m, missing_price_per_day</t>
        </is>
      </c>
    </row>
    <row r="79">
      <c r="A79" s="2">
        <f>IF(Q79="","",RANK(Q79,$Q$2:$Q$127))</f>
        <v/>
      </c>
      <c r="B79" t="inlineStr">
        <is>
          <t>Grand Ocean Spray</t>
        </is>
      </c>
      <c r="C79" t="inlineStr">
        <is>
          <t>Catamaran</t>
        </is>
      </c>
      <c r="D79" s="4" t="n">
        <v>16</v>
      </c>
      <c r="E79" s="4" t="n">
        <v>11</v>
      </c>
      <c r="F79" s="4" t="n">
        <v>20</v>
      </c>
      <c r="G79" s="4" t="n"/>
      <c r="H79" s="4" t="n"/>
      <c r="I79" s="4" t="n">
        <v>0</v>
      </c>
      <c r="J79" s="4" t="n">
        <v>0</v>
      </c>
      <c r="K79" s="2">
        <f>IF(OR(E79="",D79=""),"",E79/D79)</f>
        <v/>
      </c>
      <c r="L79" s="2">
        <f>IF(OR(F79="",G79="",D79=""),"",F79*G79/D79)</f>
        <v/>
      </c>
      <c r="M79" s="2">
        <f>IFERROR(IF(K79="","",(K79-MIN($K$2:$K$127))/(MAX($K$2:$K$127)-MIN($K$2:$K$127))),"")</f>
        <v/>
      </c>
      <c r="N79" s="2">
        <f>IFERROR(IF(L79="","",(L79-MIN($L$2:$L$127))/(MAX($L$2:$L$127)-MIN($L$2:$L$127))),"")</f>
        <v/>
      </c>
      <c r="O79" s="2">
        <f>IFERROR(IF(H79="","",(MAX($H$2:$H$127)-H79)/(MAX($H$2:$H$127)-MIN($H$2:$H$127))),"")</f>
        <v/>
      </c>
      <c r="P79" s="2">
        <f>Ww_citizen*IF(I79="",0,I79)+Ww_farm*IF(J79="",0,J79)+Ww_service*IF(M79="",0,M79)+Ww_space*IF(N79="",0,N79)+Ww_nav*IF(O79="",0,O79)</f>
        <v/>
      </c>
      <c r="Q79" s="2">
        <f>IFERROR(ROUND(100*(P79-MIN($P$2:$P$127))/(MAX($P$2:$P$127)-MIN($P$2:$P$127)),1),"")</f>
        <v/>
      </c>
      <c r="R79" t="inlineStr">
        <is>
          <t>length_ft_m_mismatch, no_engine_data, missing_beam_m, missing_price_per_day</t>
        </is>
      </c>
    </row>
    <row r="80">
      <c r="A80" s="2">
        <f>IF(Q80="","",RANK(Q80,$Q$2:$Q$127))</f>
        <v/>
      </c>
      <c r="B80" t="inlineStr">
        <is>
          <t>Bonita</t>
        </is>
      </c>
      <c r="C80" t="inlineStr">
        <is>
          <t>Yacht</t>
        </is>
      </c>
      <c r="D80" s="4" t="n">
        <v>16</v>
      </c>
      <c r="E80" s="4" t="n">
        <v>9</v>
      </c>
      <c r="F80" s="4" t="n">
        <v>25</v>
      </c>
      <c r="G80" s="4" t="n">
        <v>6</v>
      </c>
      <c r="H80" s="4" t="n"/>
      <c r="I80" s="4" t="n">
        <v>0</v>
      </c>
      <c r="J80" s="4" t="n">
        <v>0</v>
      </c>
      <c r="K80" s="2">
        <f>IF(OR(E80="",D80=""),"",E80/D80)</f>
        <v/>
      </c>
      <c r="L80" s="2">
        <f>IF(OR(F80="",G80="",D80=""),"",F80*G80/D80)</f>
        <v/>
      </c>
      <c r="M80" s="2">
        <f>IFERROR(IF(K80="","",(K80-MIN($K$2:$K$127))/(MAX($K$2:$K$127)-MIN($K$2:$K$127))),"")</f>
        <v/>
      </c>
      <c r="N80" s="2">
        <f>IFERROR(IF(L80="","",(L80-MIN($L$2:$L$127))/(MAX($L$2:$L$127)-MIN($L$2:$L$127))),"")</f>
        <v/>
      </c>
      <c r="O80" s="2">
        <f>IFERROR(IF(H80="","",(MAX($H$2:$H$127)-H80)/(MAX($H$2:$H$127)-MIN($H$2:$H$127))),"")</f>
        <v/>
      </c>
      <c r="P80" s="2">
        <f>Ww_citizen*IF(I80="",0,I80)+Ww_farm*IF(J80="",0,J80)+Ww_service*IF(M80="",0,M80)+Ww_space*IF(N80="",0,N80)+Ww_nav*IF(O80="",0,O80)</f>
        <v/>
      </c>
      <c r="Q80" s="2">
        <f>IFERROR(ROUND(100*(P80-MIN($P$2:$P$127))/(MAX($P$2:$P$127)-MIN($P$2:$P$127)),1),"")</f>
        <v/>
      </c>
      <c r="R80" t="inlineStr"/>
    </row>
    <row r="81">
      <c r="A81" s="2">
        <f>IF(Q81="","",RANK(Q81,$Q$2:$Q$127))</f>
        <v/>
      </c>
      <c r="B81" t="inlineStr">
        <is>
          <t>Galaxy Diver Ii</t>
        </is>
      </c>
      <c r="C81" t="inlineStr">
        <is>
          <t>Yacht</t>
        </is>
      </c>
      <c r="D81" s="4" t="n">
        <v>16</v>
      </c>
      <c r="E81" s="4" t="n">
        <v>9</v>
      </c>
      <c r="F81" s="4" t="n">
        <v>25</v>
      </c>
      <c r="G81" s="4" t="n">
        <v>6</v>
      </c>
      <c r="H81" s="4" t="n"/>
      <c r="I81" s="4" t="n">
        <v>0</v>
      </c>
      <c r="J81" s="4" t="n">
        <v>0</v>
      </c>
      <c r="K81" s="2">
        <f>IF(OR(E81="",D81=""),"",E81/D81)</f>
        <v/>
      </c>
      <c r="L81" s="2">
        <f>IF(OR(F81="",G81="",D81=""),"",F81*G81/D81)</f>
        <v/>
      </c>
      <c r="M81" s="2">
        <f>IFERROR(IF(K81="","",(K81-MIN($K$2:$K$127))/(MAX($K$2:$K$127)-MIN($K$2:$K$127))),"")</f>
        <v/>
      </c>
      <c r="N81" s="2">
        <f>IFERROR(IF(L81="","",(L81-MIN($L$2:$L$127))/(MAX($L$2:$L$127)-MIN($L$2:$L$127))),"")</f>
        <v/>
      </c>
      <c r="O81" s="2">
        <f>IFERROR(IF(H81="","",(MAX($H$2:$H$127)-H81)/(MAX($H$2:$H$127)-MIN($H$2:$H$127))),"")</f>
        <v/>
      </c>
      <c r="P81" s="2">
        <f>Ww_citizen*IF(I81="",0,I81)+Ww_farm*IF(J81="",0,J81)+Ww_service*IF(M81="",0,M81)+Ww_space*IF(N81="",0,N81)+Ww_nav*IF(O81="",0,O81)</f>
        <v/>
      </c>
      <c r="Q81" s="2">
        <f>IFERROR(ROUND(100*(P81-MIN($P$2:$P$127))/(MAX($P$2:$P$127)-MIN($P$2:$P$127)),1),"")</f>
        <v/>
      </c>
      <c r="R81" t="inlineStr">
        <is>
          <t>length_ft_m_mismatch, missing_price_per_day</t>
        </is>
      </c>
    </row>
    <row r="82">
      <c r="A82" s="2">
        <f>IF(Q82="","",RANK(Q82,$Q$2:$Q$127))</f>
        <v/>
      </c>
      <c r="B82" t="inlineStr">
        <is>
          <t>Yolita II</t>
        </is>
      </c>
      <c r="C82" t="inlineStr">
        <is>
          <t>Small Yacht</t>
        </is>
      </c>
      <c r="D82" s="4" t="n">
        <v>16</v>
      </c>
      <c r="E82" s="4" t="n"/>
      <c r="F82" s="4" t="n">
        <v>33</v>
      </c>
      <c r="G82" s="4" t="n"/>
      <c r="H82" s="4" t="n">
        <v>35.4</v>
      </c>
      <c r="I82" s="4" t="n">
        <v>0</v>
      </c>
      <c r="J82" s="4" t="n">
        <v>0</v>
      </c>
      <c r="K82" s="2">
        <f>IF(OR(E82="",D82=""),"",E82/D82)</f>
        <v/>
      </c>
      <c r="L82" s="2">
        <f>IF(OR(F82="",G82="",D82=""),"",F82*G82/D82)</f>
        <v/>
      </c>
      <c r="M82" s="2">
        <f>IFERROR(IF(K82="","",(K82-MIN($K$2:$K$127))/(MAX($K$2:$K$127)-MIN($K$2:$K$127))),"")</f>
        <v/>
      </c>
      <c r="N82" s="2">
        <f>IFERROR(IF(L82="","",(L82-MIN($L$2:$L$127))/(MAX($L$2:$L$127)-MIN($L$2:$L$127))),"")</f>
        <v/>
      </c>
      <c r="O82" s="2">
        <f>IFERROR(IF(H82="","",(MAX($H$2:$H$127)-H82)/(MAX($H$2:$H$127)-MIN($H$2:$H$127))),"")</f>
        <v/>
      </c>
      <c r="P82" s="2">
        <f>Ww_citizen*IF(I82="",0,I82)+Ww_farm*IF(J82="",0,J82)+Ww_service*IF(M82="",0,M82)+Ww_space*IF(N82="",0,N82)+Ww_nav*IF(O82="",0,O82)</f>
        <v/>
      </c>
      <c r="Q82" s="2">
        <f>IFERROR(ROUND(100*(P82-MIN($P$2:$P$127))/(MAX($P$2:$P$127)-MIN($P$2:$P$127)),1),"")</f>
        <v/>
      </c>
      <c r="R82" t="inlineStr">
        <is>
          <t>no_engine_data, missing_beam_m, missing_crew_count, missing_price_per_day</t>
        </is>
      </c>
    </row>
    <row r="83">
      <c r="A83" s="2">
        <f>IF(Q83="","",RANK(Q83,$Q$2:$Q$127))</f>
        <v/>
      </c>
      <c r="B83" t="inlineStr">
        <is>
          <t>Galaxy Orion</t>
        </is>
      </c>
      <c r="C83" t="inlineStr">
        <is>
          <t>Yacht</t>
        </is>
      </c>
      <c r="D83" s="4" t="n">
        <v>14</v>
      </c>
      <c r="E83" s="4" t="n">
        <v>9</v>
      </c>
      <c r="F83" s="4" t="n"/>
      <c r="G83" s="4" t="n">
        <v>6</v>
      </c>
      <c r="H83" s="4" t="n"/>
      <c r="I83" s="4" t="n">
        <v>0</v>
      </c>
      <c r="J83" s="4" t="n">
        <v>0</v>
      </c>
      <c r="K83" s="2">
        <f>IF(OR(E83="",D83=""),"",E83/D83)</f>
        <v/>
      </c>
      <c r="L83" s="2">
        <f>IF(OR(F83="",G83="",D83=""),"",F83*G83/D83)</f>
        <v/>
      </c>
      <c r="M83" s="2">
        <f>IFERROR(IF(K83="","",(K83-MIN($K$2:$K$127))/(MAX($K$2:$K$127)-MIN($K$2:$K$127))),"")</f>
        <v/>
      </c>
      <c r="N83" s="2">
        <f>IFERROR(IF(L83="","",(L83-MIN($L$2:$L$127))/(MAX($L$2:$L$127)-MIN($L$2:$L$127))),"")</f>
        <v/>
      </c>
      <c r="O83" s="2">
        <f>IFERROR(IF(H83="","",(MAX($H$2:$H$127)-H83)/(MAX($H$2:$H$127)-MIN($H$2:$H$127))),"")</f>
        <v/>
      </c>
      <c r="P83" s="2">
        <f>Ww_citizen*IF(I83="",0,I83)+Ww_farm*IF(J83="",0,J83)+Ww_service*IF(M83="",0,M83)+Ww_space*IF(N83="",0,N83)+Ww_nav*IF(O83="",0,O83)</f>
        <v/>
      </c>
      <c r="Q83" s="2">
        <f>IFERROR(ROUND(100*(P83-MIN($P$2:$P$127))/(MAX($P$2:$P$127)-MIN($P$2:$P$127)),1),"")</f>
        <v/>
      </c>
      <c r="R83" t="inlineStr">
        <is>
          <t>length_ft_m_mismatch, length_ft_m_mismatch, missing_length_m</t>
        </is>
      </c>
    </row>
    <row r="84">
      <c r="A84" s="2">
        <f>IF(Q84="","",RANK(Q84,$Q$2:$Q$127))</f>
        <v/>
      </c>
      <c r="B84" t="inlineStr">
        <is>
          <t>REINA SILVIA</t>
        </is>
      </c>
      <c r="C84" t="inlineStr">
        <is>
          <t>Monohull</t>
        </is>
      </c>
      <c r="D84" s="4" t="n">
        <v>12</v>
      </c>
      <c r="E84" s="4" t="n"/>
      <c r="F84" s="4" t="n"/>
      <c r="G84" s="4" t="n"/>
      <c r="H84" s="4" t="n">
        <v>35.6</v>
      </c>
      <c r="I84" s="4" t="n">
        <v>0</v>
      </c>
      <c r="J84" s="4" t="n">
        <v>0</v>
      </c>
      <c r="K84" s="2">
        <f>IF(OR(E84="",D84=""),"",E84/D84)</f>
        <v/>
      </c>
      <c r="L84" s="2">
        <f>IF(OR(F84="",G84="",D84=""),"",F84*G84/D84)</f>
        <v/>
      </c>
      <c r="M84" s="2">
        <f>IFERROR(IF(K84="","",(K84-MIN($K$2:$K$127))/(MAX($K$2:$K$127)-MIN($K$2:$K$127))),"")</f>
        <v/>
      </c>
      <c r="N84" s="2">
        <f>IFERROR(IF(L84="","",(L84-MIN($L$2:$L$127))/(MAX($L$2:$L$127)-MIN($L$2:$L$127))),"")</f>
        <v/>
      </c>
      <c r="O84" s="2">
        <f>IFERROR(IF(H84="","",(MAX($H$2:$H$127)-H84)/(MAX($H$2:$H$127)-MIN($H$2:$H$127))),"")</f>
        <v/>
      </c>
      <c r="P84" s="2">
        <f>Ww_citizen*IF(I84="",0,I84)+Ww_farm*IF(J84="",0,J84)+Ww_service*IF(M84="",0,M84)+Ww_space*IF(N84="",0,N84)+Ww_nav*IF(O84="",0,O84)</f>
        <v/>
      </c>
      <c r="Q84" s="2">
        <f>IFERROR(ROUND(100*(P84-MIN($P$2:$P$127))/(MAX($P$2:$P$127)-MIN($P$2:$P$127)),1),"")</f>
        <v/>
      </c>
      <c r="R84" t="inlineStr">
        <is>
          <t>no_engine_data, missing_length_m, missing_beam_m, missing_speed_kn, missing_crew_count, missing_price_per_day</t>
        </is>
      </c>
    </row>
    <row r="85">
      <c r="A85" s="2">
        <f>IF(Q85="","",RANK(Q85,$Q$2:$Q$127))</f>
        <v/>
      </c>
      <c r="B85" t="inlineStr">
        <is>
          <t>Galaxy Diver Ii Naturalist</t>
        </is>
      </c>
      <c r="C85" t="inlineStr">
        <is>
          <t>Yacht</t>
        </is>
      </c>
      <c r="D85" s="4" t="n">
        <v>16</v>
      </c>
      <c r="E85" s="4" t="n">
        <v>10</v>
      </c>
      <c r="F85" s="4" t="n"/>
      <c r="G85" s="4" t="n">
        <v>6</v>
      </c>
      <c r="H85" s="4" t="n"/>
      <c r="I85" s="4" t="n">
        <v>0</v>
      </c>
      <c r="J85" s="4" t="n">
        <v>0</v>
      </c>
      <c r="K85" s="2">
        <f>IF(OR(E85="",D85=""),"",E85/D85)</f>
        <v/>
      </c>
      <c r="L85" s="2">
        <f>IF(OR(F85="",G85="",D85=""),"",F85*G85/D85)</f>
        <v/>
      </c>
      <c r="M85" s="2">
        <f>IFERROR(IF(K85="","",(K85-MIN($K$2:$K$127))/(MAX($K$2:$K$127)-MIN($K$2:$K$127))),"")</f>
        <v/>
      </c>
      <c r="N85" s="2">
        <f>IFERROR(IF(L85="","",(L85-MIN($L$2:$L$127))/(MAX($L$2:$L$127)-MIN($L$2:$L$127))),"")</f>
        <v/>
      </c>
      <c r="O85" s="2">
        <f>IFERROR(IF(H85="","",(MAX($H$2:$H$127)-H85)/(MAX($H$2:$H$127)-MIN($H$2:$H$127))),"")</f>
        <v/>
      </c>
      <c r="P85" s="2">
        <f>Ww_citizen*IF(I85="",0,I85)+Ww_farm*IF(J85="",0,J85)+Ww_service*IF(M85="",0,M85)+Ww_space*IF(N85="",0,N85)+Ww_nav*IF(O85="",0,O85)</f>
        <v/>
      </c>
      <c r="Q85" s="2">
        <f>IFERROR(ROUND(100*(P85-MIN($P$2:$P$127))/(MAX($P$2:$P$127)-MIN($P$2:$P$127)),1),"")</f>
        <v/>
      </c>
      <c r="R85" t="inlineStr">
        <is>
          <t>length_ft_m_mismatch, missing_length_m</t>
        </is>
      </c>
    </row>
    <row r="86">
      <c r="A86" s="2">
        <f>IF(Q86="","",RANK(Q86,$Q$2:$Q$127))</f>
        <v/>
      </c>
      <c r="B86" t="inlineStr">
        <is>
          <t>Galaxy Sirius</t>
        </is>
      </c>
      <c r="C86" t="inlineStr">
        <is>
          <t>Catamaran</t>
        </is>
      </c>
      <c r="D86" s="4" t="n">
        <v>16</v>
      </c>
      <c r="E86" s="4" t="n">
        <v>10</v>
      </c>
      <c r="F86" s="4" t="n"/>
      <c r="G86" s="4" t="n"/>
      <c r="H86" s="4" t="n"/>
      <c r="I86" s="4" t="n">
        <v>0</v>
      </c>
      <c r="J86" s="4" t="n">
        <v>0</v>
      </c>
      <c r="K86" s="2">
        <f>IF(OR(E86="",D86=""),"",E86/D86)</f>
        <v/>
      </c>
      <c r="L86" s="2">
        <f>IF(OR(F86="",G86="",D86=""),"",F86*G86/D86)</f>
        <v/>
      </c>
      <c r="M86" s="2">
        <f>IFERROR(IF(K86="","",(K86-MIN($K$2:$K$127))/(MAX($K$2:$K$127)-MIN($K$2:$K$127))),"")</f>
        <v/>
      </c>
      <c r="N86" s="2">
        <f>IFERROR(IF(L86="","",(L86-MIN($L$2:$L$127))/(MAX($L$2:$L$127)-MIN($L$2:$L$127))),"")</f>
        <v/>
      </c>
      <c r="O86" s="2">
        <f>IFERROR(IF(H86="","",(MAX($H$2:$H$127)-H86)/(MAX($H$2:$H$127)-MIN($H$2:$H$127))),"")</f>
        <v/>
      </c>
      <c r="P86" s="2">
        <f>Ww_citizen*IF(I86="",0,I86)+Ww_farm*IF(J86="",0,J86)+Ww_service*IF(M86="",0,M86)+Ww_space*IF(N86="",0,N86)+Ww_nav*IF(O86="",0,O86)</f>
        <v/>
      </c>
      <c r="Q86" s="2">
        <f>IFERROR(ROUND(100*(P86-MIN($P$2:$P$127))/(MAX($P$2:$P$127)-MIN($P$2:$P$127)),1),"")</f>
        <v/>
      </c>
      <c r="R86" t="inlineStr">
        <is>
          <t>length_out_of_range, length_out_of_range, missing_length_m, missing_beam_m</t>
        </is>
      </c>
    </row>
    <row r="87">
      <c r="A87" s="2">
        <f>IF(Q87="","",RANK(Q87,$Q$2:$Q$127))</f>
        <v/>
      </c>
      <c r="B87" t="inlineStr">
        <is>
          <t>Grand Majestic</t>
        </is>
      </c>
      <c r="C87" t="inlineStr">
        <is>
          <t>Yacht</t>
        </is>
      </c>
      <c r="D87" s="4" t="n">
        <v>16</v>
      </c>
      <c r="E87" s="4" t="n">
        <v>10</v>
      </c>
      <c r="F87" s="4" t="n">
        <v>39</v>
      </c>
      <c r="G87" s="4" t="n"/>
      <c r="H87" s="4" t="n">
        <v>43.8</v>
      </c>
      <c r="I87" s="4" t="n">
        <v>0</v>
      </c>
      <c r="J87" s="4" t="n">
        <v>0</v>
      </c>
      <c r="K87" s="2">
        <f>IF(OR(E87="",D87=""),"",E87/D87)</f>
        <v/>
      </c>
      <c r="L87" s="2">
        <f>IF(OR(F87="",G87="",D87=""),"",F87*G87/D87)</f>
        <v/>
      </c>
      <c r="M87" s="2">
        <f>IFERROR(IF(K87="","",(K87-MIN($K$2:$K$127))/(MAX($K$2:$K$127)-MIN($K$2:$K$127))),"")</f>
        <v/>
      </c>
      <c r="N87" s="2">
        <f>IFERROR(IF(L87="","",(L87-MIN($L$2:$L$127))/(MAX($L$2:$L$127)-MIN($L$2:$L$127))),"")</f>
        <v/>
      </c>
      <c r="O87" s="2">
        <f>IFERROR(IF(H87="","",(MAX($H$2:$H$127)-H87)/(MAX($H$2:$H$127)-MIN($H$2:$H$127))),"")</f>
        <v/>
      </c>
      <c r="P87" s="2">
        <f>Ww_citizen*IF(I87="",0,I87)+Ww_farm*IF(J87="",0,J87)+Ww_service*IF(M87="",0,M87)+Ww_space*IF(N87="",0,N87)+Ww_nav*IF(O87="",0,O87)</f>
        <v/>
      </c>
      <c r="Q87" s="2">
        <f>IFERROR(ROUND(100*(P87-MIN($P$2:$P$127))/(MAX($P$2:$P$127)-MIN($P$2:$P$127)),1),"")</f>
        <v/>
      </c>
      <c r="R87" t="inlineStr">
        <is>
          <t>missing_beam_m, missing_speed_kn</t>
        </is>
      </c>
    </row>
    <row r="88">
      <c r="A88" s="2">
        <f>IF(Q88="","",RANK(Q88,$Q$2:$Q$127))</f>
        <v/>
      </c>
      <c r="B88" t="inlineStr">
        <is>
          <t>Nortada</t>
        </is>
      </c>
      <c r="C88" t="inlineStr">
        <is>
          <t>Yacht</t>
        </is>
      </c>
      <c r="D88" s="4" t="n">
        <v>8</v>
      </c>
      <c r="E88" s="4" t="n">
        <v>5</v>
      </c>
      <c r="F88" s="4" t="n">
        <v>25.9</v>
      </c>
      <c r="G88" s="4" t="n"/>
      <c r="H88" s="4" t="n"/>
      <c r="I88" s="4" t="n">
        <v>0</v>
      </c>
      <c r="J88" s="4" t="n">
        <v>0</v>
      </c>
      <c r="K88" s="2">
        <f>IF(OR(E88="",D88=""),"",E88/D88)</f>
        <v/>
      </c>
      <c r="L88" s="2">
        <f>IF(OR(F88="",G88="",D88=""),"",F88*G88/D88)</f>
        <v/>
      </c>
      <c r="M88" s="2">
        <f>IFERROR(IF(K88="","",(K88-MIN($K$2:$K$127))/(MAX($K$2:$K$127)-MIN($K$2:$K$127))),"")</f>
        <v/>
      </c>
      <c r="N88" s="2">
        <f>IFERROR(IF(L88="","",(L88-MIN($L$2:$L$127))/(MAX($L$2:$L$127)-MIN($L$2:$L$127))),"")</f>
        <v/>
      </c>
      <c r="O88" s="2">
        <f>IFERROR(IF(H88="","",(MAX($H$2:$H$127)-H88)/(MAX($H$2:$H$127)-MIN($H$2:$H$127))),"")</f>
        <v/>
      </c>
      <c r="P88" s="2">
        <f>Ww_citizen*IF(I88="",0,I88)+Ww_farm*IF(J88="",0,J88)+Ww_service*IF(M88="",0,M88)+Ww_space*IF(N88="",0,N88)+Ww_nav*IF(O88="",0,O88)</f>
        <v/>
      </c>
      <c r="Q88" s="2">
        <f>IFERROR(ROUND(100*(P88-MIN($P$2:$P$127))/(MAX($P$2:$P$127)-MIN($P$2:$P$127)),1),"")</f>
        <v/>
      </c>
      <c r="R88" t="inlineStr">
        <is>
          <t>missing_beam_m, missing_price_per_day</t>
        </is>
      </c>
    </row>
    <row r="89">
      <c r="A89" s="2">
        <f>IF(Q89="","",RANK(Q89,$Q$2:$Q$127))</f>
        <v/>
      </c>
      <c r="B89" t="inlineStr">
        <is>
          <t>Tip Top V</t>
        </is>
      </c>
      <c r="C89" t="inlineStr">
        <is>
          <t>Catamaran</t>
        </is>
      </c>
      <c r="D89" s="4" t="n">
        <v>16</v>
      </c>
      <c r="E89" s="4" t="n">
        <v>10</v>
      </c>
      <c r="F89" s="4" t="n">
        <v>34.1</v>
      </c>
      <c r="G89" s="4" t="n"/>
      <c r="H89" s="4" t="n"/>
      <c r="I89" s="4" t="n">
        <v>0</v>
      </c>
      <c r="J89" s="4" t="n">
        <v>0</v>
      </c>
      <c r="K89" s="2">
        <f>IF(OR(E89="",D89=""),"",E89/D89)</f>
        <v/>
      </c>
      <c r="L89" s="2">
        <f>IF(OR(F89="",G89="",D89=""),"",F89*G89/D89)</f>
        <v/>
      </c>
      <c r="M89" s="2">
        <f>IFERROR(IF(K89="","",(K89-MIN($K$2:$K$127))/(MAX($K$2:$K$127)-MIN($K$2:$K$127))),"")</f>
        <v/>
      </c>
      <c r="N89" s="2">
        <f>IFERROR(IF(L89="","",(L89-MIN($L$2:$L$127))/(MAX($L$2:$L$127)-MIN($L$2:$L$127))),"")</f>
        <v/>
      </c>
      <c r="O89" s="2">
        <f>IFERROR(IF(H89="","",(MAX($H$2:$H$127)-H89)/(MAX($H$2:$H$127)-MIN($H$2:$H$127))),"")</f>
        <v/>
      </c>
      <c r="P89" s="2">
        <f>Ww_citizen*IF(I89="",0,I89)+Ww_farm*IF(J89="",0,J89)+Ww_service*IF(M89="",0,M89)+Ww_space*IF(N89="",0,N89)+Ww_nav*IF(O89="",0,O89)</f>
        <v/>
      </c>
      <c r="Q89" s="2">
        <f>IFERROR(ROUND(100*(P89-MIN($P$2:$P$127))/(MAX($P$2:$P$127)-MIN($P$2:$P$127)),1),"")</f>
        <v/>
      </c>
      <c r="R89" t="inlineStr">
        <is>
          <t>missing_beam_m</t>
        </is>
      </c>
    </row>
    <row r="90">
      <c r="A90" s="2">
        <f>IF(Q90="","",RANK(Q90,$Q$2:$Q$127))</f>
        <v/>
      </c>
      <c r="B90" t="inlineStr">
        <is>
          <t>Daphne</t>
        </is>
      </c>
      <c r="C90" t="inlineStr">
        <is>
          <t>Monohull</t>
        </is>
      </c>
      <c r="D90" s="4" t="n">
        <v>16</v>
      </c>
      <c r="E90" s="4" t="n"/>
      <c r="F90" s="4" t="n"/>
      <c r="G90" s="4" t="n"/>
      <c r="H90" s="4" t="n">
        <v>36.1</v>
      </c>
      <c r="I90" s="4" t="n">
        <v>0</v>
      </c>
      <c r="J90" s="4" t="n">
        <v>0</v>
      </c>
      <c r="K90" s="2">
        <f>IF(OR(E90="",D90=""),"",E90/D90)</f>
        <v/>
      </c>
      <c r="L90" s="2">
        <f>IF(OR(F90="",G90="",D90=""),"",F90*G90/D90)</f>
        <v/>
      </c>
      <c r="M90" s="2">
        <f>IFERROR(IF(K90="","",(K90-MIN($K$2:$K$127))/(MAX($K$2:$K$127)-MIN($K$2:$K$127))),"")</f>
        <v/>
      </c>
      <c r="N90" s="2">
        <f>IFERROR(IF(L90="","",(L90-MIN($L$2:$L$127))/(MAX($L$2:$L$127)-MIN($L$2:$L$127))),"")</f>
        <v/>
      </c>
      <c r="O90" s="2">
        <f>IFERROR(IF(H90="","",(MAX($H$2:$H$127)-H90)/(MAX($H$2:$H$127)-MIN($H$2:$H$127))),"")</f>
        <v/>
      </c>
      <c r="P90" s="2">
        <f>Ww_citizen*IF(I90="",0,I90)+Ww_farm*IF(J90="",0,J90)+Ww_service*IF(M90="",0,M90)+Ww_space*IF(N90="",0,N90)+Ww_nav*IF(O90="",0,O90)</f>
        <v/>
      </c>
      <c r="Q90" s="2">
        <f>IFERROR(ROUND(100*(P90-MIN($P$2:$P$127))/(MAX($P$2:$P$127)-MIN($P$2:$P$127)),1),"")</f>
        <v/>
      </c>
      <c r="R90" t="inlineStr">
        <is>
          <t>no_engine_data, missing_length_m, missing_beam_m, missing_speed_kn, missing_crew_count, missing_price_per_day</t>
        </is>
      </c>
    </row>
    <row r="91">
      <c r="A91" s="2">
        <f>IF(Q91="","",RANK(Q91,$Q$2:$Q$127))</f>
        <v/>
      </c>
      <c r="B91" t="inlineStr">
        <is>
          <t>Beagle</t>
        </is>
      </c>
      <c r="C91" t="inlineStr">
        <is>
          <t>Motorsailer</t>
        </is>
      </c>
      <c r="D91" s="4" t="n">
        <v>14</v>
      </c>
      <c r="E91" s="4" t="n">
        <v>5</v>
      </c>
      <c r="F91" s="4" t="n">
        <v>32</v>
      </c>
      <c r="G91" s="4" t="n">
        <v>7</v>
      </c>
      <c r="H91" s="4" t="n"/>
      <c r="I91" s="4" t="n">
        <v>0</v>
      </c>
      <c r="J91" s="4" t="n">
        <v>0</v>
      </c>
      <c r="K91" s="2">
        <f>IF(OR(E91="",D91=""),"",E91/D91)</f>
        <v/>
      </c>
      <c r="L91" s="2">
        <f>IF(OR(F91="",G91="",D91=""),"",F91*G91/D91)</f>
        <v/>
      </c>
      <c r="M91" s="2">
        <f>IFERROR(IF(K91="","",(K91-MIN($K$2:$K$127))/(MAX($K$2:$K$127)-MIN($K$2:$K$127))),"")</f>
        <v/>
      </c>
      <c r="N91" s="2">
        <f>IFERROR(IF(L91="","",(L91-MIN($L$2:$L$127))/(MAX($L$2:$L$127)-MIN($L$2:$L$127))),"")</f>
        <v/>
      </c>
      <c r="O91" s="2">
        <f>IFERROR(IF(H91="","",(MAX($H$2:$H$127)-H91)/(MAX($H$2:$H$127)-MIN($H$2:$H$127))),"")</f>
        <v/>
      </c>
      <c r="P91" s="2">
        <f>Ww_citizen*IF(I91="",0,I91)+Ww_farm*IF(J91="",0,J91)+Ww_service*IF(M91="",0,M91)+Ww_space*IF(N91="",0,N91)+Ww_nav*IF(O91="",0,O91)</f>
        <v/>
      </c>
      <c r="Q91" s="2">
        <f>IFERROR(ROUND(100*(P91-MIN($P$2:$P$127))/(MAX($P$2:$P$127)-MIN($P$2:$P$127)),1),"")</f>
        <v/>
      </c>
      <c r="R91" t="inlineStr">
        <is>
          <t>missing_price_per_day</t>
        </is>
      </c>
    </row>
    <row r="92">
      <c r="A92" s="2">
        <f>IF(Q92="","",RANK(Q92,$Q$2:$Q$127))</f>
        <v/>
      </c>
      <c r="B92" t="inlineStr">
        <is>
          <t>Lonesome George</t>
        </is>
      </c>
      <c r="C92" t="inlineStr">
        <is>
          <t>Motor Catamaran</t>
        </is>
      </c>
      <c r="D92" s="4" t="n">
        <v>16</v>
      </c>
      <c r="E92" s="4" t="n"/>
      <c r="F92" s="4" t="n">
        <v>17</v>
      </c>
      <c r="G92" s="4" t="n">
        <v>5</v>
      </c>
      <c r="H92" s="4" t="n">
        <v>37.8</v>
      </c>
      <c r="I92" s="4" t="n">
        <v>0</v>
      </c>
      <c r="J92" s="4" t="n">
        <v>0</v>
      </c>
      <c r="K92" s="2">
        <f>IF(OR(E92="",D92=""),"",E92/D92)</f>
        <v/>
      </c>
      <c r="L92" s="2">
        <f>IF(OR(F92="",G92="",D92=""),"",F92*G92/D92)</f>
        <v/>
      </c>
      <c r="M92" s="2">
        <f>IFERROR(IF(K92="","",(K92-MIN($K$2:$K$127))/(MAX($K$2:$K$127)-MIN($K$2:$K$127))),"")</f>
        <v/>
      </c>
      <c r="N92" s="2">
        <f>IFERROR(IF(L92="","",(L92-MIN($L$2:$L$127))/(MAX($L$2:$L$127)-MIN($L$2:$L$127))),"")</f>
        <v/>
      </c>
      <c r="O92" s="2">
        <f>IFERROR(IF(H92="","",(MAX($H$2:$H$127)-H92)/(MAX($H$2:$H$127)-MIN($H$2:$H$127))),"")</f>
        <v/>
      </c>
      <c r="P92" s="2">
        <f>Ww_citizen*IF(I92="",0,I92)+Ww_farm*IF(J92="",0,J92)+Ww_service*IF(M92="",0,M92)+Ww_space*IF(N92="",0,N92)+Ww_nav*IF(O92="",0,O92)</f>
        <v/>
      </c>
      <c r="Q92" s="2">
        <f>IFERROR(ROUND(100*(P92-MIN($P$2:$P$127))/(MAX($P$2:$P$127)-MIN($P$2:$P$127)),1),"")</f>
        <v/>
      </c>
      <c r="R92" t="inlineStr">
        <is>
          <t>no_engine_data, missing_crew_count, missing_price_per_day</t>
        </is>
      </c>
    </row>
    <row r="93">
      <c r="A93" s="2">
        <f>IF(Q93="","",RANK(Q93,$Q$2:$Q$127))</f>
        <v/>
      </c>
      <c r="B93" t="inlineStr">
        <is>
          <t>Reina Silvia Voyager</t>
        </is>
      </c>
      <c r="C93" t="inlineStr">
        <is>
          <t>Catamaran</t>
        </is>
      </c>
      <c r="D93" s="4" t="n">
        <v>16</v>
      </c>
      <c r="E93" s="4" t="n">
        <v>8</v>
      </c>
      <c r="F93" s="4" t="n"/>
      <c r="G93" s="4" t="n"/>
      <c r="H93" s="4" t="n"/>
      <c r="I93" s="4" t="n">
        <v>0</v>
      </c>
      <c r="J93" s="4" t="n">
        <v>0</v>
      </c>
      <c r="K93" s="2">
        <f>IF(OR(E93="",D93=""),"",E93/D93)</f>
        <v/>
      </c>
      <c r="L93" s="2">
        <f>IF(OR(F93="",G93="",D93=""),"",F93*G93/D93)</f>
        <v/>
      </c>
      <c r="M93" s="2">
        <f>IFERROR(IF(K93="","",(K93-MIN($K$2:$K$127))/(MAX($K$2:$K$127)-MIN($K$2:$K$127))),"")</f>
        <v/>
      </c>
      <c r="N93" s="2">
        <f>IFERROR(IF(L93="","",(L93-MIN($L$2:$L$127))/(MAX($L$2:$L$127)-MIN($L$2:$L$127))),"")</f>
        <v/>
      </c>
      <c r="O93" s="2">
        <f>IFERROR(IF(H93="","",(MAX($H$2:$H$127)-H93)/(MAX($H$2:$H$127)-MIN($H$2:$H$127))),"")</f>
        <v/>
      </c>
      <c r="P93" s="2">
        <f>Ww_citizen*IF(I93="",0,I93)+Ww_farm*IF(J93="",0,J93)+Ww_service*IF(M93="",0,M93)+Ww_space*IF(N93="",0,N93)+Ww_nav*IF(O93="",0,O93)</f>
        <v/>
      </c>
      <c r="Q93" s="2">
        <f>IFERROR(ROUND(100*(P93-MIN($P$2:$P$127))/(MAX($P$2:$P$127)-MIN($P$2:$P$127)),1),"")</f>
        <v/>
      </c>
      <c r="R93" t="inlineStr">
        <is>
          <t>length_ft_m_mismatch, no_engine_data, missing_length_m, missing_beam_m, missing_price_per_day</t>
        </is>
      </c>
    </row>
    <row r="94">
      <c r="A94" s="2">
        <f>IF(Q94="","",RANK(Q94,$Q$2:$Q$127))</f>
        <v/>
      </c>
      <c r="B94" t="inlineStr">
        <is>
          <t>Yolita</t>
        </is>
      </c>
      <c r="C94" t="inlineStr">
        <is>
          <t>Yacht</t>
        </is>
      </c>
      <c r="D94" s="4" t="n">
        <v>16</v>
      </c>
      <c r="E94" s="4" t="n">
        <v>8</v>
      </c>
      <c r="F94" s="4" t="n"/>
      <c r="G94" s="4" t="n">
        <v>8</v>
      </c>
      <c r="H94" s="4" t="n"/>
      <c r="I94" s="4" t="n">
        <v>0</v>
      </c>
      <c r="J94" s="4" t="n">
        <v>0</v>
      </c>
      <c r="K94" s="2">
        <f>IF(OR(E94="",D94=""),"",E94/D94)</f>
        <v/>
      </c>
      <c r="L94" s="2">
        <f>IF(OR(F94="",G94="",D94=""),"",F94*G94/D94)</f>
        <v/>
      </c>
      <c r="M94" s="2">
        <f>IFERROR(IF(K94="","",(K94-MIN($K$2:$K$127))/(MAX($K$2:$K$127)-MIN($K$2:$K$127))),"")</f>
        <v/>
      </c>
      <c r="N94" s="2">
        <f>IFERROR(IF(L94="","",(L94-MIN($L$2:$L$127))/(MAX($L$2:$L$127)-MIN($L$2:$L$127))),"")</f>
        <v/>
      </c>
      <c r="O94" s="2">
        <f>IFERROR(IF(H94="","",(MAX($H$2:$H$127)-H94)/(MAX($H$2:$H$127)-MIN($H$2:$H$127))),"")</f>
        <v/>
      </c>
      <c r="P94" s="2">
        <f>Ww_citizen*IF(I94="",0,I94)+Ww_farm*IF(J94="",0,J94)+Ww_service*IF(M94="",0,M94)+Ww_space*IF(N94="",0,N94)+Ww_nav*IF(O94="",0,O94)</f>
        <v/>
      </c>
      <c r="Q94" s="2">
        <f>IFERROR(ROUND(100*(P94-MIN($P$2:$P$127))/(MAX($P$2:$P$127)-MIN($P$2:$P$127)),1),"")</f>
        <v/>
      </c>
      <c r="R94" t="inlineStr">
        <is>
          <t>length_ft_m_mismatch, missing_length_m</t>
        </is>
      </c>
    </row>
    <row r="95">
      <c r="A95" s="2">
        <f>IF(Q95="","",RANK(Q95,$Q$2:$Q$127))</f>
        <v/>
      </c>
      <c r="B95" t="inlineStr">
        <is>
          <t>Aggressor Iii</t>
        </is>
      </c>
      <c r="C95" t="inlineStr">
        <is>
          <t>Yacht</t>
        </is>
      </c>
      <c r="D95" s="4" t="n">
        <v>16</v>
      </c>
      <c r="E95" s="4" t="n">
        <v>5</v>
      </c>
      <c r="F95" s="4" t="n">
        <v>30</v>
      </c>
      <c r="G95" s="4" t="n">
        <v>7</v>
      </c>
      <c r="H95" s="4" t="n"/>
      <c r="I95" s="4" t="n">
        <v>0</v>
      </c>
      <c r="J95" s="4" t="n">
        <v>0</v>
      </c>
      <c r="K95" s="2">
        <f>IF(OR(E95="",D95=""),"",E95/D95)</f>
        <v/>
      </c>
      <c r="L95" s="2">
        <f>IF(OR(F95="",G95="",D95=""),"",F95*G95/D95)</f>
        <v/>
      </c>
      <c r="M95" s="2">
        <f>IFERROR(IF(K95="","",(K95-MIN($K$2:$K$127))/(MAX($K$2:$K$127)-MIN($K$2:$K$127))),"")</f>
        <v/>
      </c>
      <c r="N95" s="2">
        <f>IFERROR(IF(L95="","",(L95-MIN($L$2:$L$127))/(MAX($L$2:$L$127)-MIN($L$2:$L$127))),"")</f>
        <v/>
      </c>
      <c r="O95" s="2">
        <f>IFERROR(IF(H95="","",(MAX($H$2:$H$127)-H95)/(MAX($H$2:$H$127)-MIN($H$2:$H$127))),"")</f>
        <v/>
      </c>
      <c r="P95" s="2">
        <f>Ww_citizen*IF(I95="",0,I95)+Ww_farm*IF(J95="",0,J95)+Ww_service*IF(M95="",0,M95)+Ww_space*IF(N95="",0,N95)+Ww_nav*IF(O95="",0,O95)</f>
        <v/>
      </c>
      <c r="Q95" s="2">
        <f>IFERROR(ROUND(100*(P95-MIN($P$2:$P$127))/(MAX($P$2:$P$127)-MIN($P$2:$P$127)),1),"")</f>
        <v/>
      </c>
      <c r="R95" t="inlineStr">
        <is>
          <t>missing_price_per_day</t>
        </is>
      </c>
    </row>
    <row r="96">
      <c r="A96" s="2">
        <f>IF(Q96="","",RANK(Q96,$Q$2:$Q$127))</f>
        <v/>
      </c>
      <c r="B96" t="inlineStr">
        <is>
          <t>Coral I&amp;ii</t>
        </is>
      </c>
      <c r="C96" t="inlineStr">
        <is>
          <t>Yacht</t>
        </is>
      </c>
      <c r="D96" s="4" t="n">
        <v>36</v>
      </c>
      <c r="E96" s="4" t="n">
        <v>12</v>
      </c>
      <c r="F96" s="4" t="n">
        <v>40</v>
      </c>
      <c r="G96" s="4" t="n">
        <v>9</v>
      </c>
      <c r="H96" s="4" t="n"/>
      <c r="I96" s="4" t="n">
        <v>0</v>
      </c>
      <c r="J96" s="4" t="n">
        <v>0</v>
      </c>
      <c r="K96" s="2">
        <f>IF(OR(E96="",D96=""),"",E96/D96)</f>
        <v/>
      </c>
      <c r="L96" s="2">
        <f>IF(OR(F96="",G96="",D96=""),"",F96*G96/D96)</f>
        <v/>
      </c>
      <c r="M96" s="2">
        <f>IFERROR(IF(K96="","",(K96-MIN($K$2:$K$127))/(MAX($K$2:$K$127)-MIN($K$2:$K$127))),"")</f>
        <v/>
      </c>
      <c r="N96" s="2">
        <f>IFERROR(IF(L96="","",(L96-MIN($L$2:$L$127))/(MAX($L$2:$L$127)-MIN($L$2:$L$127))),"")</f>
        <v/>
      </c>
      <c r="O96" s="2">
        <f>IFERROR(IF(H96="","",(MAX($H$2:$H$127)-H96)/(MAX($H$2:$H$127)-MIN($H$2:$H$127))),"")</f>
        <v/>
      </c>
      <c r="P96" s="2">
        <f>Ww_citizen*IF(I96="",0,I96)+Ww_farm*IF(J96="",0,J96)+Ww_service*IF(M96="",0,M96)+Ww_space*IF(N96="",0,N96)+Ww_nav*IF(O96="",0,O96)</f>
        <v/>
      </c>
      <c r="Q96" s="2">
        <f>IFERROR(ROUND(100*(P96-MIN($P$2:$P$127))/(MAX($P$2:$P$127)-MIN($P$2:$P$127)),1),"")</f>
        <v/>
      </c>
      <c r="R96" t="inlineStr"/>
    </row>
    <row r="97">
      <c r="A97" s="2">
        <f>IF(Q97="","",RANK(Q97,$Q$2:$Q$127))</f>
        <v/>
      </c>
      <c r="B97" t="inlineStr">
        <is>
          <t>Danubio Azul Diving</t>
        </is>
      </c>
      <c r="C97" t="inlineStr">
        <is>
          <t>Yacht</t>
        </is>
      </c>
      <c r="D97" s="4" t="n">
        <v>16</v>
      </c>
      <c r="E97" s="4" t="n">
        <v>7</v>
      </c>
      <c r="F97" s="4" t="n">
        <v>21.6</v>
      </c>
      <c r="G97" s="4" t="n"/>
      <c r="H97" s="4" t="n"/>
      <c r="I97" s="4" t="n">
        <v>0</v>
      </c>
      <c r="J97" s="4" t="n">
        <v>0</v>
      </c>
      <c r="K97" s="2">
        <f>IF(OR(E97="",D97=""),"",E97/D97)</f>
        <v/>
      </c>
      <c r="L97" s="2">
        <f>IF(OR(F97="",G97="",D97=""),"",F97*G97/D97)</f>
        <v/>
      </c>
      <c r="M97" s="2">
        <f>IFERROR(IF(K97="","",(K97-MIN($K$2:$K$127))/(MAX($K$2:$K$127)-MIN($K$2:$K$127))),"")</f>
        <v/>
      </c>
      <c r="N97" s="2">
        <f>IFERROR(IF(L97="","",(L97-MIN($L$2:$L$127))/(MAX($L$2:$L$127)-MIN($L$2:$L$127))),"")</f>
        <v/>
      </c>
      <c r="O97" s="2">
        <f>IFERROR(IF(H97="","",(MAX($H$2:$H$127)-H97)/(MAX($H$2:$H$127)-MIN($H$2:$H$127))),"")</f>
        <v/>
      </c>
      <c r="P97" s="2">
        <f>Ww_citizen*IF(I97="",0,I97)+Ww_farm*IF(J97="",0,J97)+Ww_service*IF(M97="",0,M97)+Ww_space*IF(N97="",0,N97)+Ww_nav*IF(O97="",0,O97)</f>
        <v/>
      </c>
      <c r="Q97" s="2">
        <f>IFERROR(ROUND(100*(P97-MIN($P$2:$P$127))/(MAX($P$2:$P$127)-MIN($P$2:$P$127)),1),"")</f>
        <v/>
      </c>
      <c r="R97" t="inlineStr">
        <is>
          <t>no_engine_data, missing_beam_m</t>
        </is>
      </c>
    </row>
    <row r="98">
      <c r="A98" s="2">
        <f>IF(Q98="","",RANK(Q98,$Q$2:$Q$127))</f>
        <v/>
      </c>
      <c r="B98" t="inlineStr">
        <is>
          <t>Danubio Azul Naturalist</t>
        </is>
      </c>
      <c r="C98" t="inlineStr">
        <is>
          <t>Yacht</t>
        </is>
      </c>
      <c r="D98" s="4" t="n">
        <v>16</v>
      </c>
      <c r="E98" s="4" t="n">
        <v>7</v>
      </c>
      <c r="F98" s="4" t="n">
        <v>21.6</v>
      </c>
      <c r="G98" s="4" t="n"/>
      <c r="H98" s="4" t="n"/>
      <c r="I98" s="4" t="n">
        <v>0</v>
      </c>
      <c r="J98" s="4" t="n">
        <v>0</v>
      </c>
      <c r="K98" s="2">
        <f>IF(OR(E98="",D98=""),"",E98/D98)</f>
        <v/>
      </c>
      <c r="L98" s="2">
        <f>IF(OR(F98="",G98="",D98=""),"",F98*G98/D98)</f>
        <v/>
      </c>
      <c r="M98" s="2">
        <f>IFERROR(IF(K98="","",(K98-MIN($K$2:$K$127))/(MAX($K$2:$K$127)-MIN($K$2:$K$127))),"")</f>
        <v/>
      </c>
      <c r="N98" s="2">
        <f>IFERROR(IF(L98="","",(L98-MIN($L$2:$L$127))/(MAX($L$2:$L$127)-MIN($L$2:$L$127))),"")</f>
        <v/>
      </c>
      <c r="O98" s="2">
        <f>IFERROR(IF(H98="","",(MAX($H$2:$H$127)-H98)/(MAX($H$2:$H$127)-MIN($H$2:$H$127))),"")</f>
        <v/>
      </c>
      <c r="P98" s="2">
        <f>Ww_citizen*IF(I98="",0,I98)+Ww_farm*IF(J98="",0,J98)+Ww_service*IF(M98="",0,M98)+Ww_space*IF(N98="",0,N98)+Ww_nav*IF(O98="",0,O98)</f>
        <v/>
      </c>
      <c r="Q98" s="2">
        <f>IFERROR(ROUND(100*(P98-MIN($P$2:$P$127))/(MAX($P$2:$P$127)-MIN($P$2:$P$127)),1),"")</f>
        <v/>
      </c>
      <c r="R98" t="inlineStr">
        <is>
          <t>no_engine_data, missing_beam_m</t>
        </is>
      </c>
    </row>
    <row r="99">
      <c r="A99" s="2">
        <f>IF(Q99="","",RANK(Q99,$Q$2:$Q$127))</f>
        <v/>
      </c>
      <c r="B99" t="inlineStr">
        <is>
          <t>Humboldt Explorer</t>
        </is>
      </c>
      <c r="C99" t="inlineStr">
        <is>
          <t>Yacht</t>
        </is>
      </c>
      <c r="D99" s="4" t="n">
        <v>16</v>
      </c>
      <c r="E99" s="4" t="n">
        <v>7</v>
      </c>
      <c r="F99" s="4" t="n"/>
      <c r="G99" s="4" t="n">
        <v>6</v>
      </c>
      <c r="H99" s="4" t="n"/>
      <c r="I99" s="4" t="n">
        <v>0</v>
      </c>
      <c r="J99" s="4" t="n">
        <v>0</v>
      </c>
      <c r="K99" s="2">
        <f>IF(OR(E99="",D99=""),"",E99/D99)</f>
        <v/>
      </c>
      <c r="L99" s="2">
        <f>IF(OR(F99="",G99="",D99=""),"",F99*G99/D99)</f>
        <v/>
      </c>
      <c r="M99" s="2">
        <f>IFERROR(IF(K99="","",(K99-MIN($K$2:$K$127))/(MAX($K$2:$K$127)-MIN($K$2:$K$127))),"")</f>
        <v/>
      </c>
      <c r="N99" s="2">
        <f>IFERROR(IF(L99="","",(L99-MIN($L$2:$L$127))/(MAX($L$2:$L$127)-MIN($L$2:$L$127))),"")</f>
        <v/>
      </c>
      <c r="O99" s="2">
        <f>IFERROR(IF(H99="","",(MAX($H$2:$H$127)-H99)/(MAX($H$2:$H$127)-MIN($H$2:$H$127))),"")</f>
        <v/>
      </c>
      <c r="P99" s="2">
        <f>Ww_citizen*IF(I99="",0,I99)+Ww_farm*IF(J99="",0,J99)+Ww_service*IF(M99="",0,M99)+Ww_space*IF(N99="",0,N99)+Ww_nav*IF(O99="",0,O99)</f>
        <v/>
      </c>
      <c r="Q99" s="2">
        <f>IFERROR(ROUND(100*(P99-MIN($P$2:$P$127))/(MAX($P$2:$P$127)-MIN($P$2:$P$127)),1),"")</f>
        <v/>
      </c>
      <c r="R99" t="inlineStr">
        <is>
          <t>length_ft_m_mismatch, length_out_of_range, no_engine_data, missing_length_m, missing_price_per_day</t>
        </is>
      </c>
    </row>
    <row r="100">
      <c r="A100" s="2">
        <f>IF(Q100="","",RANK(Q100,$Q$2:$Q$127))</f>
        <v/>
      </c>
      <c r="B100" t="inlineStr">
        <is>
          <t>Koln</t>
        </is>
      </c>
      <c r="C100" t="inlineStr">
        <is>
          <t>Yacht</t>
        </is>
      </c>
      <c r="D100" s="4" t="n">
        <v>16</v>
      </c>
      <c r="E100" s="4" t="n">
        <v>4</v>
      </c>
      <c r="F100" s="4" t="n">
        <v>31</v>
      </c>
      <c r="G100" s="4" t="n">
        <v>7</v>
      </c>
      <c r="H100" s="4" t="n"/>
      <c r="I100" s="4" t="n">
        <v>0</v>
      </c>
      <c r="J100" s="4" t="n">
        <v>0</v>
      </c>
      <c r="K100" s="2">
        <f>IF(OR(E100="",D100=""),"",E100/D100)</f>
        <v/>
      </c>
      <c r="L100" s="2">
        <f>IF(OR(F100="",G100="",D100=""),"",F100*G100/D100)</f>
        <v/>
      </c>
      <c r="M100" s="2">
        <f>IFERROR(IF(K100="","",(K100-MIN($K$2:$K$127))/(MAX($K$2:$K$127)-MIN($K$2:$K$127))),"")</f>
        <v/>
      </c>
      <c r="N100" s="2">
        <f>IFERROR(IF(L100="","",(L100-MIN($L$2:$L$127))/(MAX($L$2:$L$127)-MIN($L$2:$L$127))),"")</f>
        <v/>
      </c>
      <c r="O100" s="2">
        <f>IFERROR(IF(H100="","",(MAX($H$2:$H$127)-H100)/(MAX($H$2:$H$127)-MIN($H$2:$H$127))),"")</f>
        <v/>
      </c>
      <c r="P100" s="2">
        <f>Ww_citizen*IF(I100="",0,I100)+Ww_farm*IF(J100="",0,J100)+Ww_service*IF(M100="",0,M100)+Ww_space*IF(N100="",0,N100)+Ww_nav*IF(O100="",0,O100)</f>
        <v/>
      </c>
      <c r="Q100" s="2">
        <f>IFERROR(ROUND(100*(P100-MIN($P$2:$P$127))/(MAX($P$2:$P$127)-MIN($P$2:$P$127)),1),"")</f>
        <v/>
      </c>
      <c r="R100" t="inlineStr"/>
    </row>
    <row r="101">
      <c r="A101" s="2">
        <f>IF(Q101="","",RANK(Q101,$Q$2:$Q$127))</f>
        <v/>
      </c>
      <c r="B101" t="inlineStr">
        <is>
          <t>Alia</t>
        </is>
      </c>
      <c r="C101" t="inlineStr">
        <is>
          <t>Motor Catamaran</t>
        </is>
      </c>
      <c r="D101" s="4" t="n">
        <v>16</v>
      </c>
      <c r="E101" s="4" t="n"/>
      <c r="F101" s="4" t="n">
        <v>32</v>
      </c>
      <c r="G101" s="4" t="n">
        <v>13</v>
      </c>
      <c r="H101" s="4" t="n"/>
      <c r="I101" s="4" t="n">
        <v>0</v>
      </c>
      <c r="J101" s="4" t="n">
        <v>0</v>
      </c>
      <c r="K101" s="2">
        <f>IF(OR(E101="",D101=""),"",E101/D101)</f>
        <v/>
      </c>
      <c r="L101" s="2">
        <f>IF(OR(F101="",G101="",D101=""),"",F101*G101/D101)</f>
        <v/>
      </c>
      <c r="M101" s="2">
        <f>IFERROR(IF(K101="","",(K101-MIN($K$2:$K$127))/(MAX($K$2:$K$127)-MIN($K$2:$K$127))),"")</f>
        <v/>
      </c>
      <c r="N101" s="2">
        <f>IFERROR(IF(L101="","",(L101-MIN($L$2:$L$127))/(MAX($L$2:$L$127)-MIN($L$2:$L$127))),"")</f>
        <v/>
      </c>
      <c r="O101" s="2">
        <f>IFERROR(IF(H101="","",(MAX($H$2:$H$127)-H101)/(MAX($H$2:$H$127)-MIN($H$2:$H$127))),"")</f>
        <v/>
      </c>
      <c r="P101" s="2">
        <f>Ww_citizen*IF(I101="",0,I101)+Ww_farm*IF(J101="",0,J101)+Ww_service*IF(M101="",0,M101)+Ww_space*IF(N101="",0,N101)+Ww_nav*IF(O101="",0,O101)</f>
        <v/>
      </c>
      <c r="Q101" s="2">
        <f>IFERROR(ROUND(100*(P101-MIN($P$2:$P$127))/(MAX($P$2:$P$127)-MIN($P$2:$P$127)),1),"")</f>
        <v/>
      </c>
      <c r="R101" t="inlineStr">
        <is>
          <t>no_engine_data, missing_crew_count, missing_price_per_day</t>
        </is>
      </c>
    </row>
    <row r="102">
      <c r="A102" s="2">
        <f>IF(Q102="","",RANK(Q102,$Q$2:$Q$127))</f>
        <v/>
      </c>
      <c r="B102" t="inlineStr">
        <is>
          <t>Galapagos Sky</t>
        </is>
      </c>
      <c r="C102" t="inlineStr">
        <is>
          <t>Yacht</t>
        </is>
      </c>
      <c r="D102" s="4" t="n">
        <v>16</v>
      </c>
      <c r="E102" s="4" t="n">
        <v>3</v>
      </c>
      <c r="F102" s="4" t="n">
        <v>30</v>
      </c>
      <c r="G102" s="4" t="n">
        <v>7</v>
      </c>
      <c r="H102" s="4" t="n"/>
      <c r="I102" s="4" t="n">
        <v>0</v>
      </c>
      <c r="J102" s="4" t="n">
        <v>0</v>
      </c>
      <c r="K102" s="2">
        <f>IF(OR(E102="",D102=""),"",E102/D102)</f>
        <v/>
      </c>
      <c r="L102" s="2">
        <f>IF(OR(F102="",G102="",D102=""),"",F102*G102/D102)</f>
        <v/>
      </c>
      <c r="M102" s="2">
        <f>IFERROR(IF(K102="","",(K102-MIN($K$2:$K$127))/(MAX($K$2:$K$127)-MIN($K$2:$K$127))),"")</f>
        <v/>
      </c>
      <c r="N102" s="2">
        <f>IFERROR(IF(L102="","",(L102-MIN($L$2:$L$127))/(MAX($L$2:$L$127)-MIN($L$2:$L$127))),"")</f>
        <v/>
      </c>
      <c r="O102" s="2">
        <f>IFERROR(IF(H102="","",(MAX($H$2:$H$127)-H102)/(MAX($H$2:$H$127)-MIN($H$2:$H$127))),"")</f>
        <v/>
      </c>
      <c r="P102" s="2">
        <f>Ww_citizen*IF(I102="",0,I102)+Ww_farm*IF(J102="",0,J102)+Ww_service*IF(M102="",0,M102)+Ww_space*IF(N102="",0,N102)+Ww_nav*IF(O102="",0,O102)</f>
        <v/>
      </c>
      <c r="Q102" s="2">
        <f>IFERROR(ROUND(100*(P102-MIN($P$2:$P$127))/(MAX($P$2:$P$127)-MIN($P$2:$P$127)),1),"")</f>
        <v/>
      </c>
      <c r="R102" t="inlineStr">
        <is>
          <t>missing_price_per_day</t>
        </is>
      </c>
    </row>
    <row r="103">
      <c r="A103" s="2">
        <f>IF(Q103="","",RANK(Q103,$Q$2:$Q$127))</f>
        <v/>
      </c>
      <c r="B103" t="inlineStr">
        <is>
          <t>Anali</t>
        </is>
      </c>
      <c r="C103" t="inlineStr">
        <is>
          <t>Motor Catamaran</t>
        </is>
      </c>
      <c r="D103" s="4" t="n">
        <v>16</v>
      </c>
      <c r="E103" s="4" t="n"/>
      <c r="F103" s="4" t="n">
        <v>27</v>
      </c>
      <c r="G103" s="4" t="n">
        <v>11</v>
      </c>
      <c r="H103" s="4" t="n"/>
      <c r="I103" s="4" t="n">
        <v>0</v>
      </c>
      <c r="J103" s="4" t="n">
        <v>0</v>
      </c>
      <c r="K103" s="2">
        <f>IF(OR(E103="",D103=""),"",E103/D103)</f>
        <v/>
      </c>
      <c r="L103" s="2">
        <f>IF(OR(F103="",G103="",D103=""),"",F103*G103/D103)</f>
        <v/>
      </c>
      <c r="M103" s="2">
        <f>IFERROR(IF(K103="","",(K103-MIN($K$2:$K$127))/(MAX($K$2:$K$127)-MIN($K$2:$K$127))),"")</f>
        <v/>
      </c>
      <c r="N103" s="2">
        <f>IFERROR(IF(L103="","",(L103-MIN($L$2:$L$127))/(MAX($L$2:$L$127)-MIN($L$2:$L$127))),"")</f>
        <v/>
      </c>
      <c r="O103" s="2">
        <f>IFERROR(IF(H103="","",(MAX($H$2:$H$127)-H103)/(MAX($H$2:$H$127)-MIN($H$2:$H$127))),"")</f>
        <v/>
      </c>
      <c r="P103" s="2">
        <f>Ww_citizen*IF(I103="",0,I103)+Ww_farm*IF(J103="",0,J103)+Ww_service*IF(M103="",0,M103)+Ww_space*IF(N103="",0,N103)+Ww_nav*IF(O103="",0,O103)</f>
        <v/>
      </c>
      <c r="Q103" s="2">
        <f>IFERROR(ROUND(100*(P103-MIN($P$2:$P$127))/(MAX($P$2:$P$127)-MIN($P$2:$P$127)),1),"")</f>
        <v/>
      </c>
      <c r="R103" t="inlineStr">
        <is>
          <t>no_engine_data, missing_crew_count, missing_price_per_day</t>
        </is>
      </c>
    </row>
    <row r="104">
      <c r="A104" s="2">
        <f>IF(Q104="","",RANK(Q104,$Q$2:$Q$127))</f>
        <v/>
      </c>
      <c r="B104" t="inlineStr">
        <is>
          <t>Nemo I</t>
        </is>
      </c>
      <c r="C104" t="inlineStr">
        <is>
          <t>Sailing Catamaran</t>
        </is>
      </c>
      <c r="D104" s="4" t="n">
        <v>16</v>
      </c>
      <c r="E104" s="4" t="n"/>
      <c r="F104" s="4" t="n"/>
      <c r="G104" s="4" t="n">
        <v>10</v>
      </c>
      <c r="H104" s="4" t="n">
        <v>40.3</v>
      </c>
      <c r="I104" s="4" t="n">
        <v>0</v>
      </c>
      <c r="J104" s="4" t="n">
        <v>0</v>
      </c>
      <c r="K104" s="2">
        <f>IF(OR(E104="",D104=""),"",E104/D104)</f>
        <v/>
      </c>
      <c r="L104" s="2">
        <f>IF(OR(F104="",G104="",D104=""),"",F104*G104/D104)</f>
        <v/>
      </c>
      <c r="M104" s="2">
        <f>IFERROR(IF(K104="","",(K104-MIN($K$2:$K$127))/(MAX($K$2:$K$127)-MIN($K$2:$K$127))),"")</f>
        <v/>
      </c>
      <c r="N104" s="2">
        <f>IFERROR(IF(L104="","",(L104-MIN($L$2:$L$127))/(MAX($L$2:$L$127)-MIN($L$2:$L$127))),"")</f>
        <v/>
      </c>
      <c r="O104" s="2">
        <f>IFERROR(IF(H104="","",(MAX($H$2:$H$127)-H104)/(MAX($H$2:$H$127)-MIN($H$2:$H$127))),"")</f>
        <v/>
      </c>
      <c r="P104" s="2">
        <f>Ww_citizen*IF(I104="",0,I104)+Ww_farm*IF(J104="",0,J104)+Ww_service*IF(M104="",0,M104)+Ww_space*IF(N104="",0,N104)+Ww_nav*IF(O104="",0,O104)</f>
        <v/>
      </c>
      <c r="Q104" s="2">
        <f>IFERROR(ROUND(100*(P104-MIN($P$2:$P$127))/(MAX($P$2:$P$127)-MIN($P$2:$P$127)),1),"")</f>
        <v/>
      </c>
      <c r="R104" t="inlineStr">
        <is>
          <t>length_ft_m_mismatch, no_engine_data, missing_length_m, missing_speed_kn, missing_crew_count, missing_price_per_day</t>
        </is>
      </c>
    </row>
    <row r="105">
      <c r="A105" s="2">
        <f>IF(Q105="","",RANK(Q105,$Q$2:$Q$127))</f>
        <v/>
      </c>
      <c r="B105" t="inlineStr">
        <is>
          <t>Letty</t>
        </is>
      </c>
      <c r="C105" t="inlineStr">
        <is>
          <t>Yacht</t>
        </is>
      </c>
      <c r="D105" s="4" t="n">
        <v>20</v>
      </c>
      <c r="E105" s="4" t="n">
        <v>3</v>
      </c>
      <c r="F105" s="4" t="n">
        <v>25</v>
      </c>
      <c r="G105" s="4" t="n">
        <v>7</v>
      </c>
      <c r="H105" s="4" t="n"/>
      <c r="I105" s="4" t="n">
        <v>0</v>
      </c>
      <c r="J105" s="4" t="n">
        <v>0</v>
      </c>
      <c r="K105" s="2">
        <f>IF(OR(E105="",D105=""),"",E105/D105)</f>
        <v/>
      </c>
      <c r="L105" s="2">
        <f>IF(OR(F105="",G105="",D105=""),"",F105*G105/D105)</f>
        <v/>
      </c>
      <c r="M105" s="2">
        <f>IFERROR(IF(K105="","",(K105-MIN($K$2:$K$127))/(MAX($K$2:$K$127)-MIN($K$2:$K$127))),"")</f>
        <v/>
      </c>
      <c r="N105" s="2">
        <f>IFERROR(IF(L105="","",(L105-MIN($L$2:$L$127))/(MAX($L$2:$L$127)-MIN($L$2:$L$127))),"")</f>
        <v/>
      </c>
      <c r="O105" s="2">
        <f>IFERROR(IF(H105="","",(MAX($H$2:$H$127)-H105)/(MAX($H$2:$H$127)-MIN($H$2:$H$127))),"")</f>
        <v/>
      </c>
      <c r="P105" s="2">
        <f>Ww_citizen*IF(I105="",0,I105)+Ww_farm*IF(J105="",0,J105)+Ww_service*IF(M105="",0,M105)+Ww_space*IF(N105="",0,N105)+Ww_nav*IF(O105="",0,O105)</f>
        <v/>
      </c>
      <c r="Q105" s="2">
        <f>IFERROR(ROUND(100*(P105-MIN($P$2:$P$127))/(MAX($P$2:$P$127)-MIN($P$2:$P$127)),1),"")</f>
        <v/>
      </c>
      <c r="R105" t="inlineStr"/>
    </row>
    <row r="106">
      <c r="A106" s="2">
        <f>IF(Q106="","",RANK(Q106,$Q$2:$Q$127))</f>
        <v/>
      </c>
      <c r="B106" t="inlineStr">
        <is>
          <t>Majestic Galápagos Diving Cruise</t>
        </is>
      </c>
      <c r="C106" t="inlineStr">
        <is>
          <t>Small Yacht</t>
        </is>
      </c>
      <c r="D106" s="4" t="n">
        <v>16</v>
      </c>
      <c r="E106" s="4" t="n"/>
      <c r="F106" s="4" t="n">
        <v>36</v>
      </c>
      <c r="G106" s="4" t="n">
        <v>7</v>
      </c>
      <c r="H106" s="4" t="n"/>
      <c r="I106" s="4" t="n">
        <v>0</v>
      </c>
      <c r="J106" s="4" t="n">
        <v>0</v>
      </c>
      <c r="K106" s="2">
        <f>IF(OR(E106="",D106=""),"",E106/D106)</f>
        <v/>
      </c>
      <c r="L106" s="2">
        <f>IF(OR(F106="",G106="",D106=""),"",F106*G106/D106)</f>
        <v/>
      </c>
      <c r="M106" s="2">
        <f>IFERROR(IF(K106="","",(K106-MIN($K$2:$K$127))/(MAX($K$2:$K$127)-MIN($K$2:$K$127))),"")</f>
        <v/>
      </c>
      <c r="N106" s="2">
        <f>IFERROR(IF(L106="","",(L106-MIN($L$2:$L$127))/(MAX($L$2:$L$127)-MIN($L$2:$L$127))),"")</f>
        <v/>
      </c>
      <c r="O106" s="2">
        <f>IFERROR(IF(H106="","",(MAX($H$2:$H$127)-H106)/(MAX($H$2:$H$127)-MIN($H$2:$H$127))),"")</f>
        <v/>
      </c>
      <c r="P106" s="2">
        <f>Ww_citizen*IF(I106="",0,I106)+Ww_farm*IF(J106="",0,J106)+Ww_service*IF(M106="",0,M106)+Ww_space*IF(N106="",0,N106)+Ww_nav*IF(O106="",0,O106)</f>
        <v/>
      </c>
      <c r="Q106" s="2">
        <f>IFERROR(ROUND(100*(P106-MIN($P$2:$P$127))/(MAX($P$2:$P$127)-MIN($P$2:$P$127)),1),"")</f>
        <v/>
      </c>
      <c r="R106" t="inlineStr">
        <is>
          <t>no_engine_data, missing_crew_count, missing_price_per_day</t>
        </is>
      </c>
    </row>
    <row r="107">
      <c r="A107" s="2">
        <f>IF(Q107="","",RANK(Q107,$Q$2:$Q$127))</f>
        <v/>
      </c>
      <c r="B107" t="inlineStr">
        <is>
          <t>Silver</t>
        </is>
      </c>
      <c r="C107" t="inlineStr">
        <is>
          <t>Small Ships</t>
        </is>
      </c>
      <c r="D107" s="4" t="n">
        <v>100</v>
      </c>
      <c r="E107" s="4" t="n"/>
      <c r="F107" s="4" t="n">
        <v>88</v>
      </c>
      <c r="G107" s="4" t="n">
        <v>15</v>
      </c>
      <c r="H107" s="4" t="n"/>
      <c r="I107" s="4" t="n">
        <v>0</v>
      </c>
      <c r="J107" s="4" t="n">
        <v>0</v>
      </c>
      <c r="K107" s="2">
        <f>IF(OR(E107="",D107=""),"",E107/D107)</f>
        <v/>
      </c>
      <c r="L107" s="2">
        <f>IF(OR(F107="",G107="",D107=""),"",F107*G107/D107)</f>
        <v/>
      </c>
      <c r="M107" s="2">
        <f>IFERROR(IF(K107="","",(K107-MIN($K$2:$K$127))/(MAX($K$2:$K$127)-MIN($K$2:$K$127))),"")</f>
        <v/>
      </c>
      <c r="N107" s="2">
        <f>IFERROR(IF(L107="","",(L107-MIN($L$2:$L$127))/(MAX($L$2:$L$127)-MIN($L$2:$L$127))),"")</f>
        <v/>
      </c>
      <c r="O107" s="2">
        <f>IFERROR(IF(H107="","",(MAX($H$2:$H$127)-H107)/(MAX($H$2:$H$127)-MIN($H$2:$H$127))),"")</f>
        <v/>
      </c>
      <c r="P107" s="2">
        <f>Ww_citizen*IF(I107="",0,I107)+Ww_farm*IF(J107="",0,J107)+Ww_service*IF(M107="",0,M107)+Ww_space*IF(N107="",0,N107)+Ww_nav*IF(O107="",0,O107)</f>
        <v/>
      </c>
      <c r="Q107" s="2">
        <f>IFERROR(ROUND(100*(P107-MIN($P$2:$P$127))/(MAX($P$2:$P$127)-MIN($P$2:$P$127)),1),"")</f>
        <v/>
      </c>
      <c r="R107" t="inlineStr">
        <is>
          <t>no_engine_data, missing_crew_count, missing_price_per_day</t>
        </is>
      </c>
    </row>
    <row r="108">
      <c r="A108" s="2">
        <f>IF(Q108="","",RANK(Q108,$Q$2:$Q$127))</f>
        <v/>
      </c>
      <c r="B108" t="inlineStr">
        <is>
          <t>Encantada</t>
        </is>
      </c>
      <c r="C108" t="inlineStr">
        <is>
          <t>Small Yacht</t>
        </is>
      </c>
      <c r="D108" s="4" t="n">
        <v>12</v>
      </c>
      <c r="E108" s="4" t="n"/>
      <c r="F108" s="4" t="n">
        <v>21</v>
      </c>
      <c r="G108" s="4" t="n">
        <v>5</v>
      </c>
      <c r="H108" s="4" t="n"/>
      <c r="I108" s="4" t="n">
        <v>0</v>
      </c>
      <c r="J108" s="4" t="n">
        <v>0</v>
      </c>
      <c r="K108" s="2">
        <f>IF(OR(E108="",D108=""),"",E108/D108)</f>
        <v/>
      </c>
      <c r="L108" s="2">
        <f>IF(OR(F108="",G108="",D108=""),"",F108*G108/D108)</f>
        <v/>
      </c>
      <c r="M108" s="2">
        <f>IFERROR(IF(K108="","",(K108-MIN($K$2:$K$127))/(MAX($K$2:$K$127)-MIN($K$2:$K$127))),"")</f>
        <v/>
      </c>
      <c r="N108" s="2">
        <f>IFERROR(IF(L108="","",(L108-MIN($L$2:$L$127))/(MAX($L$2:$L$127)-MIN($L$2:$L$127))),"")</f>
        <v/>
      </c>
      <c r="O108" s="2">
        <f>IFERROR(IF(H108="","",(MAX($H$2:$H$127)-H108)/(MAX($H$2:$H$127)-MIN($H$2:$H$127))),"")</f>
        <v/>
      </c>
      <c r="P108" s="2">
        <f>Ww_citizen*IF(I108="",0,I108)+Ww_farm*IF(J108="",0,J108)+Ww_service*IF(M108="",0,M108)+Ww_space*IF(N108="",0,N108)+Ww_nav*IF(O108="",0,O108)</f>
        <v/>
      </c>
      <c r="Q108" s="2">
        <f>IFERROR(ROUND(100*(P108-MIN($P$2:$P$127))/(MAX($P$2:$P$127)-MIN($P$2:$P$127)),1),"")</f>
        <v/>
      </c>
      <c r="R108" t="inlineStr">
        <is>
          <t>no_engine_data, missing_crew_count, missing_price_per_day</t>
        </is>
      </c>
    </row>
    <row r="109">
      <c r="A109" s="2">
        <f>IF(Q109="","",RANK(Q109,$Q$2:$Q$127))</f>
        <v/>
      </c>
      <c r="B109" t="inlineStr">
        <is>
          <t>Eco Galaxy II</t>
        </is>
      </c>
      <c r="C109" t="inlineStr">
        <is>
          <t>Small Yacht</t>
        </is>
      </c>
      <c r="D109" s="4" t="n">
        <v>16</v>
      </c>
      <c r="E109" s="4" t="n"/>
      <c r="F109" s="4" t="n">
        <v>27</v>
      </c>
      <c r="G109" s="4" t="n">
        <v>5</v>
      </c>
      <c r="H109" s="4" t="n"/>
      <c r="I109" s="4" t="n">
        <v>0</v>
      </c>
      <c r="J109" s="4" t="n">
        <v>0</v>
      </c>
      <c r="K109" s="2">
        <f>IF(OR(E109="",D109=""),"",E109/D109)</f>
        <v/>
      </c>
      <c r="L109" s="2">
        <f>IF(OR(F109="",G109="",D109=""),"",F109*G109/D109)</f>
        <v/>
      </c>
      <c r="M109" s="2">
        <f>IFERROR(IF(K109="","",(K109-MIN($K$2:$K$127))/(MAX($K$2:$K$127)-MIN($K$2:$K$127))),"")</f>
        <v/>
      </c>
      <c r="N109" s="2">
        <f>IFERROR(IF(L109="","",(L109-MIN($L$2:$L$127))/(MAX($L$2:$L$127)-MIN($L$2:$L$127))),"")</f>
        <v/>
      </c>
      <c r="O109" s="2">
        <f>IFERROR(IF(H109="","",(MAX($H$2:$H$127)-H109)/(MAX($H$2:$H$127)-MIN($H$2:$H$127))),"")</f>
        <v/>
      </c>
      <c r="P109" s="2">
        <f>Ww_citizen*IF(I109="",0,I109)+Ww_farm*IF(J109="",0,J109)+Ww_service*IF(M109="",0,M109)+Ww_space*IF(N109="",0,N109)+Ww_nav*IF(O109="",0,O109)</f>
        <v/>
      </c>
      <c r="Q109" s="2">
        <f>IFERROR(ROUND(100*(P109-MIN($P$2:$P$127))/(MAX($P$2:$P$127)-MIN($P$2:$P$127)),1),"")</f>
        <v/>
      </c>
      <c r="R109" t="inlineStr">
        <is>
          <t>no_engine_data, missing_crew_count, missing_price_per_day</t>
        </is>
      </c>
    </row>
    <row r="110">
      <c r="A110" s="2">
        <f>IF(Q110="","",RANK(Q110,$Q$2:$Q$127))</f>
        <v/>
      </c>
      <c r="B110" t="inlineStr">
        <is>
          <t>Silver Origin</t>
        </is>
      </c>
      <c r="C110" t="inlineStr">
        <is>
          <t>Ship</t>
        </is>
      </c>
      <c r="D110" s="4" t="n">
        <v>100</v>
      </c>
      <c r="E110" s="4" t="n">
        <v>11</v>
      </c>
      <c r="F110" s="4" t="n">
        <v>35</v>
      </c>
      <c r="G110" s="4" t="n"/>
      <c r="H110" s="4" t="n"/>
      <c r="I110" s="4" t="n">
        <v>0</v>
      </c>
      <c r="J110" s="4" t="n">
        <v>0</v>
      </c>
      <c r="K110" s="2">
        <f>IF(OR(E110="",D110=""),"",E110/D110)</f>
        <v/>
      </c>
      <c r="L110" s="2">
        <f>IF(OR(F110="",G110="",D110=""),"",F110*G110/D110)</f>
        <v/>
      </c>
      <c r="M110" s="2">
        <f>IFERROR(IF(K110="","",(K110-MIN($K$2:$K$127))/(MAX($K$2:$K$127)-MIN($K$2:$K$127))),"")</f>
        <v/>
      </c>
      <c r="N110" s="2">
        <f>IFERROR(IF(L110="","",(L110-MIN($L$2:$L$127))/(MAX($L$2:$L$127)-MIN($L$2:$L$127))),"")</f>
        <v/>
      </c>
      <c r="O110" s="2">
        <f>IFERROR(IF(H110="","",(MAX($H$2:$H$127)-H110)/(MAX($H$2:$H$127)-MIN($H$2:$H$127))),"")</f>
        <v/>
      </c>
      <c r="P110" s="2">
        <f>Ww_citizen*IF(I110="",0,I110)+Ww_farm*IF(J110="",0,J110)+Ww_service*IF(M110="",0,M110)+Ww_space*IF(N110="",0,N110)+Ww_nav*IF(O110="",0,O110)</f>
        <v/>
      </c>
      <c r="Q110" s="2">
        <f>IFERROR(ROUND(100*(P110-MIN($P$2:$P$127))/(MAX($P$2:$P$127)-MIN($P$2:$P$127)),1),"")</f>
        <v/>
      </c>
      <c r="R110" t="inlineStr">
        <is>
          <t>missing_beam_m, missing_price_per_day</t>
        </is>
      </c>
    </row>
    <row r="111">
      <c r="A111" s="2">
        <f>IF(Q111="","",RANK(Q111,$Q$2:$Q$127))</f>
        <v/>
      </c>
      <c r="B111" t="inlineStr">
        <is>
          <t>XPERIENCE</t>
        </is>
      </c>
      <c r="C111" t="inlineStr">
        <is>
          <t>Monohull</t>
        </is>
      </c>
      <c r="D111" s="4" t="n">
        <v>48</v>
      </c>
      <c r="E111" s="4" t="n"/>
      <c r="F111" s="4" t="n"/>
      <c r="G111" s="4" t="n"/>
      <c r="H111" s="4" t="n">
        <v>43.5</v>
      </c>
      <c r="I111" s="4" t="n">
        <v>0</v>
      </c>
      <c r="J111" s="4" t="n">
        <v>0</v>
      </c>
      <c r="K111" s="2">
        <f>IF(OR(E111="",D111=""),"",E111/D111)</f>
        <v/>
      </c>
      <c r="L111" s="2">
        <f>IF(OR(F111="",G111="",D111=""),"",F111*G111/D111)</f>
        <v/>
      </c>
      <c r="M111" s="2">
        <f>IFERROR(IF(K111="","",(K111-MIN($K$2:$K$127))/(MAX($K$2:$K$127)-MIN($K$2:$K$127))),"")</f>
        <v/>
      </c>
      <c r="N111" s="2">
        <f>IFERROR(IF(L111="","",(L111-MIN($L$2:$L$127))/(MAX($L$2:$L$127)-MIN($L$2:$L$127))),"")</f>
        <v/>
      </c>
      <c r="O111" s="2">
        <f>IFERROR(IF(H111="","",(MAX($H$2:$H$127)-H111)/(MAX($H$2:$H$127)-MIN($H$2:$H$127))),"")</f>
        <v/>
      </c>
      <c r="P111" s="2">
        <f>Ww_citizen*IF(I111="",0,I111)+Ww_farm*IF(J111="",0,J111)+Ww_service*IF(M111="",0,M111)+Ww_space*IF(N111="",0,N111)+Ww_nav*IF(O111="",0,O111)</f>
        <v/>
      </c>
      <c r="Q111" s="2">
        <f>IFERROR(ROUND(100*(P111-MIN($P$2:$P$127))/(MAX($P$2:$P$127)-MIN($P$2:$P$127)),1),"")</f>
        <v/>
      </c>
      <c r="R111" t="inlineStr">
        <is>
          <t>no_engine_data, missing_length_m, missing_beam_m, missing_speed_kn, missing_crew_count, missing_price_per_day</t>
        </is>
      </c>
    </row>
    <row r="112">
      <c r="A112" s="2">
        <f>IF(Q112="","",RANK(Q112,$Q$2:$Q$127))</f>
        <v/>
      </c>
      <c r="B112" t="inlineStr">
        <is>
          <t>XPLORATION</t>
        </is>
      </c>
      <c r="C112" t="inlineStr">
        <is>
          <t>Catamaran</t>
        </is>
      </c>
      <c r="D112" s="4" t="n">
        <v>16</v>
      </c>
      <c r="E112" s="4" t="n"/>
      <c r="F112" s="4" t="n"/>
      <c r="G112" s="4" t="n"/>
      <c r="H112" s="4" t="n">
        <v>43.5</v>
      </c>
      <c r="I112" s="4" t="n">
        <v>0</v>
      </c>
      <c r="J112" s="4" t="n">
        <v>0</v>
      </c>
      <c r="K112" s="2">
        <f>IF(OR(E112="",D112=""),"",E112/D112)</f>
        <v/>
      </c>
      <c r="L112" s="2">
        <f>IF(OR(F112="",G112="",D112=""),"",F112*G112/D112)</f>
        <v/>
      </c>
      <c r="M112" s="2">
        <f>IFERROR(IF(K112="","",(K112-MIN($K$2:$K$127))/(MAX($K$2:$K$127)-MIN($K$2:$K$127))),"")</f>
        <v/>
      </c>
      <c r="N112" s="2">
        <f>IFERROR(IF(L112="","",(L112-MIN($L$2:$L$127))/(MAX($L$2:$L$127)-MIN($L$2:$L$127))),"")</f>
        <v/>
      </c>
      <c r="O112" s="2">
        <f>IFERROR(IF(H112="","",(MAX($H$2:$H$127)-H112)/(MAX($H$2:$H$127)-MIN($H$2:$H$127))),"")</f>
        <v/>
      </c>
      <c r="P112" s="2">
        <f>Ww_citizen*IF(I112="",0,I112)+Ww_farm*IF(J112="",0,J112)+Ww_service*IF(M112="",0,M112)+Ww_space*IF(N112="",0,N112)+Ww_nav*IF(O112="",0,O112)</f>
        <v/>
      </c>
      <c r="Q112" s="2">
        <f>IFERROR(ROUND(100*(P112-MIN($P$2:$P$127))/(MAX($P$2:$P$127)-MIN($P$2:$P$127)),1),"")</f>
        <v/>
      </c>
      <c r="R112" t="inlineStr">
        <is>
          <t>no_engine_data, missing_length_m, missing_beam_m, missing_speed_kn, missing_crew_count, missing_price_per_day</t>
        </is>
      </c>
    </row>
    <row r="113">
      <c r="A113" s="2">
        <f>IF(Q113="","",RANK(Q113,$Q$2:$Q$127))</f>
        <v/>
      </c>
      <c r="B113" t="inlineStr">
        <is>
          <t>Blue Spirit</t>
        </is>
      </c>
      <c r="C113" t="inlineStr">
        <is>
          <t>Monohull</t>
        </is>
      </c>
      <c r="D113" s="4" t="n">
        <v>16</v>
      </c>
      <c r="E113" s="4" t="n"/>
      <c r="F113" s="4" t="n"/>
      <c r="G113" s="4" t="n"/>
      <c r="H113" s="4" t="n"/>
      <c r="I113" s="4" t="n">
        <v>0</v>
      </c>
      <c r="J113" s="4" t="n">
        <v>0</v>
      </c>
      <c r="K113" s="2">
        <f>IF(OR(E113="",D113=""),"",E113/D113)</f>
        <v/>
      </c>
      <c r="L113" s="2">
        <f>IF(OR(F113="",G113="",D113=""),"",F113*G113/D113)</f>
        <v/>
      </c>
      <c r="M113" s="2">
        <f>IFERROR(IF(K113="","",(K113-MIN($K$2:$K$127))/(MAX($K$2:$K$127)-MIN($K$2:$K$127))),"")</f>
        <v/>
      </c>
      <c r="N113" s="2">
        <f>IFERROR(IF(L113="","",(L113-MIN($L$2:$L$127))/(MAX($L$2:$L$127)-MIN($L$2:$L$127))),"")</f>
        <v/>
      </c>
      <c r="O113" s="2">
        <f>IFERROR(IF(H113="","",(MAX($H$2:$H$127)-H113)/(MAX($H$2:$H$127)-MIN($H$2:$H$127))),"")</f>
        <v/>
      </c>
      <c r="P113" s="2">
        <f>Ww_citizen*IF(I113="",0,I113)+Ww_farm*IF(J113="",0,J113)+Ww_service*IF(M113="",0,M113)+Ww_space*IF(N113="",0,N113)+Ww_nav*IF(O113="",0,O113)</f>
        <v/>
      </c>
      <c r="Q113" s="2">
        <f>IFERROR(ROUND(100*(P113-MIN($P$2:$P$127))/(MAX($P$2:$P$127)-MIN($P$2:$P$127)),1),"")</f>
        <v/>
      </c>
      <c r="R113" t="inlineStr">
        <is>
          <t>no_engine_data, missing_length_m, missing_beam_m, missing_speed_kn, missing_crew_count, missing_price_per_day</t>
        </is>
      </c>
    </row>
    <row r="114">
      <c r="A114" s="2">
        <f>IF(Q114="","",RANK(Q114,$Q$2:$Q$127))</f>
        <v/>
      </c>
      <c r="B114" t="inlineStr">
        <is>
          <t>Coral I and II</t>
        </is>
      </c>
      <c r="C114" t="inlineStr">
        <is>
          <t>Small Yacht</t>
        </is>
      </c>
      <c r="D114" s="4" t="n">
        <v>36</v>
      </c>
      <c r="E114" s="4" t="n"/>
      <c r="F114" s="4" t="n">
        <v>50</v>
      </c>
      <c r="G114" s="4" t="n"/>
      <c r="H114" s="4" t="n"/>
      <c r="I114" s="4" t="n">
        <v>0</v>
      </c>
      <c r="J114" s="4" t="n">
        <v>0</v>
      </c>
      <c r="K114" s="2">
        <f>IF(OR(E114="",D114=""),"",E114/D114)</f>
        <v/>
      </c>
      <c r="L114" s="2">
        <f>IF(OR(F114="",G114="",D114=""),"",F114*G114/D114)</f>
        <v/>
      </c>
      <c r="M114" s="2">
        <f>IFERROR(IF(K114="","",(K114-MIN($K$2:$K$127))/(MAX($K$2:$K$127)-MIN($K$2:$K$127))),"")</f>
        <v/>
      </c>
      <c r="N114" s="2">
        <f>IFERROR(IF(L114="","",(L114-MIN($L$2:$L$127))/(MAX($L$2:$L$127)-MIN($L$2:$L$127))),"")</f>
        <v/>
      </c>
      <c r="O114" s="2">
        <f>IFERROR(IF(H114="","",(MAX($H$2:$H$127)-H114)/(MAX($H$2:$H$127)-MIN($H$2:$H$127))),"")</f>
        <v/>
      </c>
      <c r="P114" s="2">
        <f>Ww_citizen*IF(I114="",0,I114)+Ww_farm*IF(J114="",0,J114)+Ww_service*IF(M114="",0,M114)+Ww_space*IF(N114="",0,N114)+Ww_nav*IF(O114="",0,O114)</f>
        <v/>
      </c>
      <c r="Q114" s="2">
        <f>IFERROR(ROUND(100*(P114-MIN($P$2:$P$127))/(MAX($P$2:$P$127)-MIN($P$2:$P$127)),1),"")</f>
        <v/>
      </c>
      <c r="R114" t="inlineStr">
        <is>
          <t>no_engine_data, missing_beam_m, missing_crew_count, missing_price_per_day</t>
        </is>
      </c>
    </row>
    <row r="115">
      <c r="A115" s="2">
        <f>IF(Q115="","",RANK(Q115,$Q$2:$Q$127))</f>
        <v/>
      </c>
      <c r="B115" t="inlineStr">
        <is>
          <t>Estrella del Mar</t>
        </is>
      </c>
      <c r="C115" t="inlineStr">
        <is>
          <t>Small Yacht</t>
        </is>
      </c>
      <c r="D115" s="4" t="n">
        <v>16</v>
      </c>
      <c r="E115" s="4" t="n"/>
      <c r="F115" s="4" t="n">
        <v>23</v>
      </c>
      <c r="G115" s="4" t="n"/>
      <c r="H115" s="4" t="n"/>
      <c r="I115" s="4" t="n">
        <v>0</v>
      </c>
      <c r="J115" s="4" t="n">
        <v>0</v>
      </c>
      <c r="K115" s="2">
        <f>IF(OR(E115="",D115=""),"",E115/D115)</f>
        <v/>
      </c>
      <c r="L115" s="2">
        <f>IF(OR(F115="",G115="",D115=""),"",F115*G115/D115)</f>
        <v/>
      </c>
      <c r="M115" s="2">
        <f>IFERROR(IF(K115="","",(K115-MIN($K$2:$K$127))/(MAX($K$2:$K$127)-MIN($K$2:$K$127))),"")</f>
        <v/>
      </c>
      <c r="N115" s="2">
        <f>IFERROR(IF(L115="","",(L115-MIN($L$2:$L$127))/(MAX($L$2:$L$127)-MIN($L$2:$L$127))),"")</f>
        <v/>
      </c>
      <c r="O115" s="2">
        <f>IFERROR(IF(H115="","",(MAX($H$2:$H$127)-H115)/(MAX($H$2:$H$127)-MIN($H$2:$H$127))),"")</f>
        <v/>
      </c>
      <c r="P115" s="2">
        <f>Ww_citizen*IF(I115="",0,I115)+Ww_farm*IF(J115="",0,J115)+Ww_service*IF(M115="",0,M115)+Ww_space*IF(N115="",0,N115)+Ww_nav*IF(O115="",0,O115)</f>
        <v/>
      </c>
      <c r="Q115" s="2">
        <f>IFERROR(ROUND(100*(P115-MIN($P$2:$P$127))/(MAX($P$2:$P$127)-MIN($P$2:$P$127)),1),"")</f>
        <v/>
      </c>
      <c r="R115" t="inlineStr">
        <is>
          <t>no_engine_data, missing_beam_m, missing_crew_count, missing_price_per_day</t>
        </is>
      </c>
    </row>
    <row r="116">
      <c r="A116" s="2">
        <f>IF(Q116="","",RANK(Q116,$Q$2:$Q$127))</f>
        <v/>
      </c>
      <c r="B116" t="inlineStr">
        <is>
          <t>Galapagos Explorer</t>
        </is>
      </c>
      <c r="C116" t="inlineStr">
        <is>
          <t>Yacht</t>
        </is>
      </c>
      <c r="D116" s="4" t="n">
        <v>12</v>
      </c>
      <c r="E116" s="4" t="n"/>
      <c r="F116" s="4" t="n"/>
      <c r="G116" s="4" t="n"/>
      <c r="H116" s="4" t="n"/>
      <c r="I116" s="4" t="n">
        <v>0</v>
      </c>
      <c r="J116" s="4" t="n">
        <v>0</v>
      </c>
      <c r="K116" s="2">
        <f>IF(OR(E116="",D116=""),"",E116/D116)</f>
        <v/>
      </c>
      <c r="L116" s="2">
        <f>IF(OR(F116="",G116="",D116=""),"",F116*G116/D116)</f>
        <v/>
      </c>
      <c r="M116" s="2">
        <f>IFERROR(IF(K116="","",(K116-MIN($K$2:$K$127))/(MAX($K$2:$K$127)-MIN($K$2:$K$127))),"")</f>
        <v/>
      </c>
      <c r="N116" s="2">
        <f>IFERROR(IF(L116="","",(L116-MIN($L$2:$L$127))/(MAX($L$2:$L$127)-MIN($L$2:$L$127))),"")</f>
        <v/>
      </c>
      <c r="O116" s="2">
        <f>IFERROR(IF(H116="","",(MAX($H$2:$H$127)-H116)/(MAX($H$2:$H$127)-MIN($H$2:$H$127))),"")</f>
        <v/>
      </c>
      <c r="P116" s="2">
        <f>Ww_citizen*IF(I116="",0,I116)+Ww_farm*IF(J116="",0,J116)+Ww_service*IF(M116="",0,M116)+Ww_space*IF(N116="",0,N116)+Ww_nav*IF(O116="",0,O116)</f>
        <v/>
      </c>
      <c r="Q116" s="2">
        <f>IFERROR(ROUND(100*(P116-MIN($P$2:$P$127))/(MAX($P$2:$P$127)-MIN($P$2:$P$127)),1),"")</f>
        <v/>
      </c>
      <c r="R116" t="inlineStr">
        <is>
          <t>no_engine_data, missing_length_m, missing_beam_m, missing_speed_kn, missing_crew_count, missing_price_per_day</t>
        </is>
      </c>
    </row>
    <row r="117">
      <c r="A117" s="2">
        <f>IF(Q117="","",RANK(Q117,$Q$2:$Q$127))</f>
        <v/>
      </c>
      <c r="B117" t="inlineStr">
        <is>
          <t>Flora</t>
        </is>
      </c>
      <c r="C117" t="inlineStr">
        <is>
          <t>Monohull</t>
        </is>
      </c>
      <c r="D117" s="4" t="n"/>
      <c r="E117" s="4" t="n"/>
      <c r="F117" s="4" t="n"/>
      <c r="G117" s="4" t="n"/>
      <c r="H117" s="4" t="n"/>
      <c r="I117" s="4" t="n">
        <v>0</v>
      </c>
      <c r="J117" s="4" t="n">
        <v>0</v>
      </c>
      <c r="K117" s="2">
        <f>IF(OR(E117="",D117=""),"",E117/D117)</f>
        <v/>
      </c>
      <c r="L117" s="2">
        <f>IF(OR(F117="",G117="",D117=""),"",F117*G117/D117)</f>
        <v/>
      </c>
      <c r="M117" s="2">
        <f>IFERROR(IF(K117="","",(K117-MIN($K$2:$K$127))/(MAX($K$2:$K$127)-MIN($K$2:$K$127))),"")</f>
        <v/>
      </c>
      <c r="N117" s="2">
        <f>IFERROR(IF(L117="","",(L117-MIN($L$2:$L$127))/(MAX($L$2:$L$127)-MIN($L$2:$L$127))),"")</f>
        <v/>
      </c>
      <c r="O117" s="2">
        <f>IFERROR(IF(H117="","",(MAX($H$2:$H$127)-H117)/(MAX($H$2:$H$127)-MIN($H$2:$H$127))),"")</f>
        <v/>
      </c>
      <c r="P117" s="2">
        <f>Ww_citizen*IF(I117="",0,I117)+Ww_farm*IF(J117="",0,J117)+Ww_service*IF(M117="",0,M117)+Ww_space*IF(N117="",0,N117)+Ww_nav*IF(O117="",0,O117)</f>
        <v/>
      </c>
      <c r="Q117" s="2">
        <f>IFERROR(ROUND(100*(P117-MIN($P$2:$P$127))/(MAX($P$2:$P$127)-MIN($P$2:$P$127)),1),"")</f>
        <v/>
      </c>
      <c r="R117" t="inlineStr">
        <is>
          <t>no_engine_data, missing_length_m, missing_beam_m, missing_speed_kn, missing_crew_count, missing_price_per_day</t>
        </is>
      </c>
    </row>
    <row r="118">
      <c r="A118" s="2">
        <f>IF(Q118="","",RANK(Q118,$Q$2:$Q$127))</f>
        <v/>
      </c>
      <c r="B118" t="inlineStr">
        <is>
          <t>Galaxy Diver</t>
        </is>
      </c>
      <c r="C118" t="inlineStr">
        <is>
          <t>Monohull</t>
        </is>
      </c>
      <c r="D118" s="4" t="n">
        <v>12</v>
      </c>
      <c r="E118" s="4" t="n"/>
      <c r="F118" s="4" t="n"/>
      <c r="G118" s="4" t="n"/>
      <c r="H118" s="4" t="n"/>
      <c r="I118" s="4" t="n">
        <v>0</v>
      </c>
      <c r="J118" s="4" t="n">
        <v>0</v>
      </c>
      <c r="K118" s="2">
        <f>IF(OR(E118="",D118=""),"",E118/D118)</f>
        <v/>
      </c>
      <c r="L118" s="2">
        <f>IF(OR(F118="",G118="",D118=""),"",F118*G118/D118)</f>
        <v/>
      </c>
      <c r="M118" s="2">
        <f>IFERROR(IF(K118="","",(K118-MIN($K$2:$K$127))/(MAX($K$2:$K$127)-MIN($K$2:$K$127))),"")</f>
        <v/>
      </c>
      <c r="N118" s="2">
        <f>IFERROR(IF(L118="","",(L118-MIN($L$2:$L$127))/(MAX($L$2:$L$127)-MIN($L$2:$L$127))),"")</f>
        <v/>
      </c>
      <c r="O118" s="2">
        <f>IFERROR(IF(H118="","",(MAX($H$2:$H$127)-H118)/(MAX($H$2:$H$127)-MIN($H$2:$H$127))),"")</f>
        <v/>
      </c>
      <c r="P118" s="2">
        <f>Ww_citizen*IF(I118="",0,I118)+Ww_farm*IF(J118="",0,J118)+Ww_service*IF(M118="",0,M118)+Ww_space*IF(N118="",0,N118)+Ww_nav*IF(O118="",0,O118)</f>
        <v/>
      </c>
      <c r="Q118" s="2">
        <f>IFERROR(ROUND(100*(P118-MIN($P$2:$P$127))/(MAX($P$2:$P$127)-MIN($P$2:$P$127)),1),"")</f>
        <v/>
      </c>
      <c r="R118" t="inlineStr">
        <is>
          <t>no_engine_data, missing_length_m, missing_beam_m, missing_speed_kn, missing_crew_count, missing_price_per_day</t>
        </is>
      </c>
    </row>
    <row r="119">
      <c r="A119" s="2">
        <f>IF(Q119="","",RANK(Q119,$Q$2:$Q$127))</f>
        <v/>
      </c>
      <c r="B119" t="inlineStr">
        <is>
          <t>Go Quito Hotel</t>
        </is>
      </c>
      <c r="D119" s="4" t="n"/>
      <c r="E119" s="4" t="n"/>
      <c r="F119" s="4" t="n"/>
      <c r="G119" s="4" t="n"/>
      <c r="H119" s="4" t="n"/>
      <c r="I119" s="4" t="n">
        <v>0</v>
      </c>
      <c r="J119" s="4" t="n">
        <v>0</v>
      </c>
      <c r="K119" s="2">
        <f>IF(OR(E119="",D119=""),"",E119/D119)</f>
        <v/>
      </c>
      <c r="L119" s="2">
        <f>IF(OR(F119="",G119="",D119=""),"",F119*G119/D119)</f>
        <v/>
      </c>
      <c r="M119" s="2">
        <f>IFERROR(IF(K119="","",(K119-MIN($K$2:$K$127))/(MAX($K$2:$K$127)-MIN($K$2:$K$127))),"")</f>
        <v/>
      </c>
      <c r="N119" s="2">
        <f>IFERROR(IF(L119="","",(L119-MIN($L$2:$L$127))/(MAX($L$2:$L$127)-MIN($L$2:$L$127))),"")</f>
        <v/>
      </c>
      <c r="O119" s="2">
        <f>IFERROR(IF(H119="","",(MAX($H$2:$H$127)-H119)/(MAX($H$2:$H$127)-MIN($H$2:$H$127))),"")</f>
        <v/>
      </c>
      <c r="P119" s="2">
        <f>Ww_citizen*IF(I119="",0,I119)+Ww_farm*IF(J119="",0,J119)+Ww_service*IF(M119="",0,M119)+Ww_space*IF(N119="",0,N119)+Ww_nav*IF(O119="",0,O119)</f>
        <v/>
      </c>
      <c r="Q119" s="2">
        <f>IFERROR(ROUND(100*(P119-MIN($P$2:$P$127))/(MAX($P$2:$P$127)-MIN($P$2:$P$127)),1),"")</f>
        <v/>
      </c>
      <c r="R119" t="inlineStr">
        <is>
          <t>no_engine_data, missing_length_m, missing_beam_m, missing_speed_kn, missing_crew_count, missing_price_per_day</t>
        </is>
      </c>
    </row>
    <row r="120">
      <c r="A120" s="2">
        <f>IF(Q120="","",RANK(Q120,$Q$2:$Q$127))</f>
        <v/>
      </c>
      <c r="B120" t="inlineStr">
        <is>
          <t>Köln</t>
        </is>
      </c>
      <c r="C120" t="inlineStr">
        <is>
          <t>Small Yacht</t>
        </is>
      </c>
      <c r="D120" s="4" t="n">
        <v>16</v>
      </c>
      <c r="E120" s="4" t="n"/>
      <c r="F120" s="4" t="n">
        <v>31.7</v>
      </c>
      <c r="G120" s="4" t="n"/>
      <c r="H120" s="4" t="n"/>
      <c r="I120" s="4" t="n">
        <v>0</v>
      </c>
      <c r="J120" s="4" t="n">
        <v>0</v>
      </c>
      <c r="K120" s="2">
        <f>IF(OR(E120="",D120=""),"",E120/D120)</f>
        <v/>
      </c>
      <c r="L120" s="2">
        <f>IF(OR(F120="",G120="",D120=""),"",F120*G120/D120)</f>
        <v/>
      </c>
      <c r="M120" s="2">
        <f>IFERROR(IF(K120="","",(K120-MIN($K$2:$K$127))/(MAX($K$2:$K$127)-MIN($K$2:$K$127))),"")</f>
        <v/>
      </c>
      <c r="N120" s="2">
        <f>IFERROR(IF(L120="","",(L120-MIN($L$2:$L$127))/(MAX($L$2:$L$127)-MIN($L$2:$L$127))),"")</f>
        <v/>
      </c>
      <c r="O120" s="2">
        <f>IFERROR(IF(H120="","",(MAX($H$2:$H$127)-H120)/(MAX($H$2:$H$127)-MIN($H$2:$H$127))),"")</f>
        <v/>
      </c>
      <c r="P120" s="2">
        <f>Ww_citizen*IF(I120="",0,I120)+Ww_farm*IF(J120="",0,J120)+Ww_service*IF(M120="",0,M120)+Ww_space*IF(N120="",0,N120)+Ww_nav*IF(O120="",0,O120)</f>
        <v/>
      </c>
      <c r="Q120" s="2">
        <f>IFERROR(ROUND(100*(P120-MIN($P$2:$P$127))/(MAX($P$2:$P$127)-MIN($P$2:$P$127)),1),"")</f>
        <v/>
      </c>
      <c r="R120" t="inlineStr">
        <is>
          <t>no_engine_data, missing_beam_m, missing_crew_count, missing_price_per_day</t>
        </is>
      </c>
    </row>
    <row r="121">
      <c r="A121" s="2">
        <f>IF(Q121="","",RANK(Q121,$Q$2:$Q$127))</f>
        <v/>
      </c>
      <c r="B121" t="inlineStr">
        <is>
          <t>Millennium</t>
        </is>
      </c>
      <c r="C121" t="inlineStr">
        <is>
          <t>Motor Catamaran</t>
        </is>
      </c>
      <c r="D121" s="4" t="n">
        <v>16</v>
      </c>
      <c r="E121" s="4" t="n"/>
      <c r="F121" s="4" t="n">
        <v>25</v>
      </c>
      <c r="G121" s="4" t="n"/>
      <c r="H121" s="4" t="n"/>
      <c r="I121" s="4" t="n">
        <v>0</v>
      </c>
      <c r="J121" s="4" t="n">
        <v>0</v>
      </c>
      <c r="K121" s="2">
        <f>IF(OR(E121="",D121=""),"",E121/D121)</f>
        <v/>
      </c>
      <c r="L121" s="2">
        <f>IF(OR(F121="",G121="",D121=""),"",F121*G121/D121)</f>
        <v/>
      </c>
      <c r="M121" s="2">
        <f>IFERROR(IF(K121="","",(K121-MIN($K$2:$K$127))/(MAX($K$2:$K$127)-MIN($K$2:$K$127))),"")</f>
        <v/>
      </c>
      <c r="N121" s="2">
        <f>IFERROR(IF(L121="","",(L121-MIN($L$2:$L$127))/(MAX($L$2:$L$127)-MIN($L$2:$L$127))),"")</f>
        <v/>
      </c>
      <c r="O121" s="2">
        <f>IFERROR(IF(H121="","",(MAX($H$2:$H$127)-H121)/(MAX($H$2:$H$127)-MIN($H$2:$H$127))),"")</f>
        <v/>
      </c>
      <c r="P121" s="2">
        <f>Ww_citizen*IF(I121="",0,I121)+Ww_farm*IF(J121="",0,J121)+Ww_service*IF(M121="",0,M121)+Ww_space*IF(N121="",0,N121)+Ww_nav*IF(O121="",0,O121)</f>
        <v/>
      </c>
      <c r="Q121" s="2">
        <f>IFERROR(ROUND(100*(P121-MIN($P$2:$P$127))/(MAX($P$2:$P$127)-MIN($P$2:$P$127)),1),"")</f>
        <v/>
      </c>
      <c r="R121" t="inlineStr">
        <is>
          <t>no_engine_data, missing_beam_m, missing_crew_count, missing_price_per_day</t>
        </is>
      </c>
    </row>
    <row r="122">
      <c r="A122" s="2">
        <f>IF(Q122="","",RANK(Q122,$Q$2:$Q$127))</f>
        <v/>
      </c>
      <c r="B122" t="inlineStr">
        <is>
          <t>QUEEN OF GALAPAGOS</t>
        </is>
      </c>
      <c r="C122" t="inlineStr">
        <is>
          <t>Monohull</t>
        </is>
      </c>
      <c r="D122" s="4" t="n">
        <v>16</v>
      </c>
      <c r="E122" s="4" t="n"/>
      <c r="F122" s="4" t="n"/>
      <c r="G122" s="4" t="n"/>
      <c r="H122" s="4" t="n"/>
      <c r="I122" s="4" t="n">
        <v>0</v>
      </c>
      <c r="J122" s="4" t="n">
        <v>0</v>
      </c>
      <c r="K122" s="2">
        <f>IF(OR(E122="",D122=""),"",E122/D122)</f>
        <v/>
      </c>
      <c r="L122" s="2">
        <f>IF(OR(F122="",G122="",D122=""),"",F122*G122/D122)</f>
        <v/>
      </c>
      <c r="M122" s="2">
        <f>IFERROR(IF(K122="","",(K122-MIN($K$2:$K$127))/(MAX($K$2:$K$127)-MIN($K$2:$K$127))),"")</f>
        <v/>
      </c>
      <c r="N122" s="2">
        <f>IFERROR(IF(L122="","",(L122-MIN($L$2:$L$127))/(MAX($L$2:$L$127)-MIN($L$2:$L$127))),"")</f>
        <v/>
      </c>
      <c r="O122" s="2">
        <f>IFERROR(IF(H122="","",(MAX($H$2:$H$127)-H122)/(MAX($H$2:$H$127)-MIN($H$2:$H$127))),"")</f>
        <v/>
      </c>
      <c r="P122" s="2">
        <f>Ww_citizen*IF(I122="",0,I122)+Ww_farm*IF(J122="",0,J122)+Ww_service*IF(M122="",0,M122)+Ww_space*IF(N122="",0,N122)+Ww_nav*IF(O122="",0,O122)</f>
        <v/>
      </c>
      <c r="Q122" s="2">
        <f>IFERROR(ROUND(100*(P122-MIN($P$2:$P$127))/(MAX($P$2:$P$127)-MIN($P$2:$P$127)),1),"")</f>
        <v/>
      </c>
      <c r="R122" t="inlineStr">
        <is>
          <t>no_engine_data, missing_length_m, missing_beam_m, missing_speed_kn, missing_crew_count, missing_price_per_day</t>
        </is>
      </c>
    </row>
    <row r="123">
      <c r="A123" s="2">
        <f>IF(Q123="","",RANK(Q123,$Q$2:$Q$127))</f>
        <v/>
      </c>
      <c r="B123" t="inlineStr">
        <is>
          <t>Galapagos Cruise Ships</t>
        </is>
      </c>
      <c r="D123" s="4" t="n"/>
      <c r="E123" s="4" t="n"/>
      <c r="F123" s="4" t="n"/>
      <c r="G123" s="4" t="n"/>
      <c r="H123" s="4" t="n"/>
      <c r="I123" s="4" t="n">
        <v>0</v>
      </c>
      <c r="J123" s="4" t="n">
        <v>0</v>
      </c>
      <c r="K123" s="2">
        <f>IF(OR(E123="",D123=""),"",E123/D123)</f>
        <v/>
      </c>
      <c r="L123" s="2">
        <f>IF(OR(F123="",G123="",D123=""),"",F123*G123/D123)</f>
        <v/>
      </c>
      <c r="M123" s="2">
        <f>IFERROR(IF(K123="","",(K123-MIN($K$2:$K$127))/(MAX($K$2:$K$127)-MIN($K$2:$K$127))),"")</f>
        <v/>
      </c>
      <c r="N123" s="2">
        <f>IFERROR(IF(L123="","",(L123-MIN($L$2:$L$127))/(MAX($L$2:$L$127)-MIN($L$2:$L$127))),"")</f>
        <v/>
      </c>
      <c r="O123" s="2">
        <f>IFERROR(IF(H123="","",(MAX($H$2:$H$127)-H123)/(MAX($H$2:$H$127)-MIN($H$2:$H$127))),"")</f>
        <v/>
      </c>
      <c r="P123" s="2">
        <f>Ww_citizen*IF(I123="",0,I123)+Ww_farm*IF(J123="",0,J123)+Ww_service*IF(M123="",0,M123)+Ww_space*IF(N123="",0,N123)+Ww_nav*IF(O123="",0,O123)</f>
        <v/>
      </c>
      <c r="Q123" s="2">
        <f>IFERROR(ROUND(100*(P123-MIN($P$2:$P$127))/(MAX($P$2:$P$127)-MIN($P$2:$P$127)),1),"")</f>
        <v/>
      </c>
      <c r="R123" t="inlineStr">
        <is>
          <t>no_engine_data, missing_length_m, missing_beam_m, missing_speed_kn, missing_crew_count, missing_price_per_day</t>
        </is>
      </c>
    </row>
    <row r="124">
      <c r="A124" s="2">
        <f>IF(Q124="","",RANK(Q124,$Q$2:$Q$127))</f>
        <v/>
      </c>
      <c r="B124" t="inlineStr">
        <is>
          <t>Stella Maris Galápagos Charter</t>
        </is>
      </c>
      <c r="C124" t="inlineStr">
        <is>
          <t>Small Yacht</t>
        </is>
      </c>
      <c r="D124" s="4" t="n">
        <v>14</v>
      </c>
      <c r="E124" s="4" t="n"/>
      <c r="F124" s="4" t="n">
        <v>40</v>
      </c>
      <c r="G124" s="4" t="n"/>
      <c r="H124" s="4" t="n"/>
      <c r="I124" s="4" t="n">
        <v>0</v>
      </c>
      <c r="J124" s="4" t="n">
        <v>0</v>
      </c>
      <c r="K124" s="2">
        <f>IF(OR(E124="",D124=""),"",E124/D124)</f>
        <v/>
      </c>
      <c r="L124" s="2">
        <f>IF(OR(F124="",G124="",D124=""),"",F124*G124/D124)</f>
        <v/>
      </c>
      <c r="M124" s="2">
        <f>IFERROR(IF(K124="","",(K124-MIN($K$2:$K$127))/(MAX($K$2:$K$127)-MIN($K$2:$K$127))),"")</f>
        <v/>
      </c>
      <c r="N124" s="2">
        <f>IFERROR(IF(L124="","",(L124-MIN($L$2:$L$127))/(MAX($L$2:$L$127)-MIN($L$2:$L$127))),"")</f>
        <v/>
      </c>
      <c r="O124" s="2">
        <f>IFERROR(IF(H124="","",(MAX($H$2:$H$127)-H124)/(MAX($H$2:$H$127)-MIN($H$2:$H$127))),"")</f>
        <v/>
      </c>
      <c r="P124" s="2">
        <f>Ww_citizen*IF(I124="",0,I124)+Ww_farm*IF(J124="",0,J124)+Ww_service*IF(M124="",0,M124)+Ww_space*IF(N124="",0,N124)+Ww_nav*IF(O124="",0,O124)</f>
        <v/>
      </c>
      <c r="Q124" s="2">
        <f>IFERROR(ROUND(100*(P124-MIN($P$2:$P$127))/(MAX($P$2:$P$127)-MIN($P$2:$P$127)),1),"")</f>
        <v/>
      </c>
      <c r="R124" t="inlineStr">
        <is>
          <t>no_engine_data, missing_beam_m, missing_crew_count, missing_price_per_day</t>
        </is>
      </c>
    </row>
    <row r="125">
      <c r="A125" s="2">
        <f>IF(Q125="","",RANK(Q125,$Q$2:$Q$127))</f>
        <v/>
      </c>
      <c r="B125" t="inlineStr">
        <is>
          <t>Test ship</t>
        </is>
      </c>
      <c r="D125" s="4" t="n"/>
      <c r="E125" s="4" t="n"/>
      <c r="F125" s="4" t="n"/>
      <c r="G125" s="4" t="n"/>
      <c r="H125" s="4" t="n"/>
      <c r="I125" s="4" t="n">
        <v>0</v>
      </c>
      <c r="J125" s="4" t="n">
        <v>0</v>
      </c>
      <c r="K125" s="2">
        <f>IF(OR(E125="",D125=""),"",E125/D125)</f>
        <v/>
      </c>
      <c r="L125" s="2">
        <f>IF(OR(F125="",G125="",D125=""),"",F125*G125/D125)</f>
        <v/>
      </c>
      <c r="M125" s="2">
        <f>IFERROR(IF(K125="","",(K125-MIN($K$2:$K$127))/(MAX($K$2:$K$127)-MIN($K$2:$K$127))),"")</f>
        <v/>
      </c>
      <c r="N125" s="2">
        <f>IFERROR(IF(L125="","",(L125-MIN($L$2:$L$127))/(MAX($L$2:$L$127)-MIN($L$2:$L$127))),"")</f>
        <v/>
      </c>
      <c r="O125" s="2">
        <f>IFERROR(IF(H125="","",(MAX($H$2:$H$127)-H125)/(MAX($H$2:$H$127)-MIN($H$2:$H$127))),"")</f>
        <v/>
      </c>
      <c r="P125" s="2">
        <f>Ww_citizen*IF(I125="",0,I125)+Ww_farm*IF(J125="",0,J125)+Ww_service*IF(M125="",0,M125)+Ww_space*IF(N125="",0,N125)+Ww_nav*IF(O125="",0,O125)</f>
        <v/>
      </c>
      <c r="Q125" s="2">
        <f>IFERROR(ROUND(100*(P125-MIN($P$2:$P$127))/(MAX($P$2:$P$127)-MIN($P$2:$P$127)),1),"")</f>
        <v/>
      </c>
      <c r="R125" t="inlineStr">
        <is>
          <t>no_engine_data, missing_length_m, missing_beam_m, missing_speed_kn, missing_crew_count, missing_price_per_day</t>
        </is>
      </c>
    </row>
    <row r="126">
      <c r="A126" s="2">
        <f>IF(Q126="","",RANK(Q126,$Q$2:$Q$127))</f>
        <v/>
      </c>
      <c r="B126" t="inlineStr">
        <is>
          <t>Treasure</t>
        </is>
      </c>
      <c r="C126" t="inlineStr">
        <is>
          <t>Motor Catamaran</t>
        </is>
      </c>
      <c r="D126" s="4" t="n">
        <v>16</v>
      </c>
      <c r="E126" s="4" t="n"/>
      <c r="F126" s="4" t="n">
        <v>31</v>
      </c>
      <c r="G126" s="4" t="n"/>
      <c r="H126" s="4" t="n"/>
      <c r="I126" s="4" t="n">
        <v>0</v>
      </c>
      <c r="J126" s="4" t="n">
        <v>0</v>
      </c>
      <c r="K126" s="2">
        <f>IF(OR(E126="",D126=""),"",E126/D126)</f>
        <v/>
      </c>
      <c r="L126" s="2">
        <f>IF(OR(F126="",G126="",D126=""),"",F126*G126/D126)</f>
        <v/>
      </c>
      <c r="M126" s="2">
        <f>IFERROR(IF(K126="","",(K126-MIN($K$2:$K$127))/(MAX($K$2:$K$127)-MIN($K$2:$K$127))),"")</f>
        <v/>
      </c>
      <c r="N126" s="2">
        <f>IFERROR(IF(L126="","",(L126-MIN($L$2:$L$127))/(MAX($L$2:$L$127)-MIN($L$2:$L$127))),"")</f>
        <v/>
      </c>
      <c r="O126" s="2">
        <f>IFERROR(IF(H126="","",(MAX($H$2:$H$127)-H126)/(MAX($H$2:$H$127)-MIN($H$2:$H$127))),"")</f>
        <v/>
      </c>
      <c r="P126" s="2">
        <f>Ww_citizen*IF(I126="",0,I126)+Ww_farm*IF(J126="",0,J126)+Ww_service*IF(M126="",0,M126)+Ww_space*IF(N126="",0,N126)+Ww_nav*IF(O126="",0,O126)</f>
        <v/>
      </c>
      <c r="Q126" s="2">
        <f>IFERROR(ROUND(100*(P126-MIN($P$2:$P$127))/(MAX($P$2:$P$127)-MIN($P$2:$P$127)),1),"")</f>
        <v/>
      </c>
      <c r="R126" t="inlineStr">
        <is>
          <t>no_engine_data, missing_beam_m, missing_speed_kn, missing_crew_count, missing_price_per_day</t>
        </is>
      </c>
    </row>
    <row r="127">
      <c r="A127" s="2">
        <f>IF(Q127="","",RANK(Q127,$Q$2:$Q$127))</f>
        <v/>
      </c>
      <c r="B127" t="inlineStr">
        <is>
          <t>Xavier III</t>
        </is>
      </c>
      <c r="C127" t="inlineStr">
        <is>
          <t>Small Yacht</t>
        </is>
      </c>
      <c r="D127" s="4" t="n">
        <v>16</v>
      </c>
      <c r="E127" s="4" t="n"/>
      <c r="F127" s="4" t="n"/>
      <c r="G127" s="4" t="n"/>
      <c r="H127" s="4" t="n"/>
      <c r="I127" s="4" t="n">
        <v>0</v>
      </c>
      <c r="J127" s="4" t="n">
        <v>0</v>
      </c>
      <c r="K127" s="2">
        <f>IF(OR(E127="",D127=""),"",E127/D127)</f>
        <v/>
      </c>
      <c r="L127" s="2">
        <f>IF(OR(F127="",G127="",D127=""),"",F127*G127/D127)</f>
        <v/>
      </c>
      <c r="M127" s="2">
        <f>IFERROR(IF(K127="","",(K127-MIN($K$2:$K$127))/(MAX($K$2:$K$127)-MIN($K$2:$K$127))),"")</f>
        <v/>
      </c>
      <c r="N127" s="2">
        <f>IFERROR(IF(L127="","",(L127-MIN($L$2:$L$127))/(MAX($L$2:$L$127)-MIN($L$2:$L$127))),"")</f>
        <v/>
      </c>
      <c r="O127" s="2">
        <f>IFERROR(IF(H127="","",(MAX($H$2:$H$127)-H127)/(MAX($H$2:$H$127)-MIN($H$2:$H$127))),"")</f>
        <v/>
      </c>
      <c r="P127" s="2">
        <f>Ww_citizen*IF(I127="",0,I127)+Ww_farm*IF(J127="",0,J127)+Ww_service*IF(M127="",0,M127)+Ww_space*IF(N127="",0,N127)+Ww_nav*IF(O127="",0,O127)</f>
        <v/>
      </c>
      <c r="Q127" s="2">
        <f>IFERROR(ROUND(100*(P127-MIN($P$2:$P$127))/(MAX($P$2:$P$127)-MIN($P$2:$P$127)),1),"")</f>
        <v/>
      </c>
      <c r="R127" t="inlineStr">
        <is>
          <t>no_engine_data, missing_length_m, missing_beam_m, missing_crew_count, missing_price_per_day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8" customWidth="1" min="3" max="3"/>
  </cols>
  <sheetData>
    <row r="1">
      <c r="A1" s="1" t="inlineStr">
        <is>
          <t>Constant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Ww_citizen</t>
        </is>
      </c>
      <c r="B2" s="4" t="n">
        <v>0.3</v>
      </c>
      <c r="C2" s="5" t="inlineStr">
        <is>
          <t>WOW weight: Citizen Science programme (top metric)</t>
        </is>
      </c>
    </row>
    <row r="3">
      <c r="A3" t="inlineStr">
        <is>
          <t>Ww_farm</t>
        </is>
      </c>
      <c r="B3" s="4" t="n">
        <v>0.3</v>
      </c>
      <c r="C3" s="5" t="inlineStr">
        <is>
          <t>WOW weight: Farm-to-table / local food sourcing (top metric)</t>
        </is>
      </c>
    </row>
    <row r="4">
      <c r="A4" t="inlineStr">
        <is>
          <t>Ww_service</t>
        </is>
      </c>
      <c r="B4" s="4" t="n">
        <v>0.15</v>
      </c>
      <c r="C4" s="5" t="inlineStr">
        <is>
          <t>WOW weight: crew per guest (service)</t>
        </is>
      </c>
    </row>
    <row r="5">
      <c r="A5" t="inlineStr">
        <is>
          <t>Ww_space</t>
        </is>
      </c>
      <c r="B5" s="4" t="n">
        <v>0.1</v>
      </c>
      <c r="C5" s="5" t="inlineStr">
        <is>
          <t>WOW weight: deck area per guest</t>
        </is>
      </c>
    </row>
    <row r="6">
      <c r="A6" t="inlineStr">
        <is>
          <t>Ww_nav</t>
        </is>
      </c>
      <c r="B6" s="4" t="n">
        <v>0.15</v>
      </c>
      <c r="C6" s="5" t="inlineStr">
        <is>
          <t>WOW weight: itinerary navigation efficiency (short legs)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6" t="inlineStr">
        <is>
          <t>WOW FACTOR — model</t>
        </is>
      </c>
      <c r="B1" t="inlineStr"/>
    </row>
    <row r="2">
      <c r="A2" t="inlineStr">
        <is>
          <t>Scope</t>
        </is>
      </c>
      <c r="B2" s="5" t="inlineStr">
        <is>
          <t>All 126 boats compared.</t>
        </is>
      </c>
    </row>
    <row r="3">
      <c r="A3" t="inlineStr">
        <is>
          <t>Top factors (highest weight)</t>
        </is>
      </c>
      <c r="B3" s="5" t="inlineStr">
        <is>
          <t>Citizen Science (0.30) and Farm-to-table / local food sourcing (0.30) — premium-experience differentiators that add the most points.</t>
        </is>
      </c>
    </row>
    <row r="4">
      <c r="A4" t="inlineStr">
        <is>
          <t>Operational factors</t>
        </is>
      </c>
      <c r="B4" s="5" t="inlineStr">
        <is>
          <t>Crew/guest service (0.15), deck area per guest (0.10), itinerary navigation efficiency (0.15) — where the Seaman Journey is collectively strong.</t>
        </is>
      </c>
    </row>
    <row r="5">
      <c r="A5" t="inlineStr">
        <is>
          <t>Citizen Science boats</t>
        </is>
      </c>
      <c r="B5" s="5" t="inlineStr">
        <is>
          <t>Seaman Journey, Santa Cruz II, Origin/Theory/Evolve, National Geographic fleet (editable Yes/No column).</t>
        </is>
      </c>
    </row>
    <row r="6">
      <c r="A6" t="inlineStr">
        <is>
          <t>Farm-to-table boats</t>
        </is>
      </c>
      <c r="B6" s="5" t="inlineStr">
        <is>
          <t>Seaman Journey (the only vessel; editable Yes/No column).</t>
        </is>
      </c>
    </row>
    <row r="7">
      <c r="A7" t="inlineStr">
        <is>
          <t>Seaman Journey result</t>
        </is>
      </c>
      <c r="B7" s="5" t="inlineStr">
        <is>
          <t>Rank #1 of 126. It is the only boat offering BOTH citizen science and farm-to-table, the two highest-weighted factors — a genuine, data-backed reason it tops the WOW metric.</t>
        </is>
      </c>
    </row>
    <row r="8">
      <c r="A8" t="inlineStr">
        <is>
          <t>Weights</t>
        </is>
      </c>
      <c r="B8" s="5" t="inlineStr">
        <is>
          <t>On the Constants sheet — fully editable.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Living rating workbook</t>
        </is>
      </c>
      <c r="B2" s="5" t="inlineStr"/>
    </row>
    <row r="3">
      <c r="A3" t="inlineStr">
        <is>
          <t>Yellow cells</t>
        </is>
      </c>
      <c r="B3" s="5" t="inlineStr">
        <is>
          <t>Editable inputs (vessel specs). Correct or fill these by hand — values left blank were rejected as corrupt or were not displayed by the source.</t>
        </is>
      </c>
    </row>
    <row r="4">
      <c r="A4" t="inlineStr">
        <is>
          <t>Green cells</t>
        </is>
      </c>
      <c r="B4" s="5" t="inlineStr">
        <is>
          <t>Formulas — do not edit. They recompute automatically when you change a yellow input.</t>
        </is>
      </c>
    </row>
    <row r="5">
      <c r="A5" t="inlineStr">
        <is>
          <t>Constants sheet</t>
        </is>
      </c>
      <c r="B5" s="5" t="inlineStr">
        <is>
          <t>Model constants (physics coefficients, penalties) are named ranges — tune them and every sheet updates.</t>
        </is>
      </c>
    </row>
    <row r="6">
      <c r="A6" t="inlineStr">
        <is>
          <t>Downgrade</t>
        </is>
      </c>
      <c r="B6" s="5" t="inlineStr">
        <is>
          <t>A listing is automatically downgraded when key inputs (especially engine power) are blank — the data penalty multiplies its score.</t>
        </is>
      </c>
    </row>
    <row r="7">
      <c r="A7" t="inlineStr">
        <is>
          <t>Normalisation</t>
        </is>
      </c>
      <c r="B7" s="5" t="inlineStr">
        <is>
          <t>Scores use whole-column MAX/MIN, so editing one vessel re-scales the whole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2026-06-21T07:39:17Z</dcterms:created>
  <dcterms:modified xsi:type="dcterms:W3CDTF">2026-06-21T07:39:17Z</dcterms:modified>
</cp:coreProperties>
</file>
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 Rating" sheetId="1" state="visible" r:id="rId1"/>
    <sheet name="Constants" sheetId="2" state="visible" r:id="rId2"/>
    <sheet name="How to use" sheetId="3" state="visible" r:id="rId3"/>
  </sheets>
  <definedNames>
    <definedName name="W_space">Constants!$B$2</definedName>
    <definedName name="W_service">Constants!$B$3</definedName>
    <definedName name="W_cat">Constants!$B$4</definedName>
    <definedName name="W_itin">Constants!$B$5</definedName>
    <definedName name="PenMissing">Constants!$B$6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6F54"/>
      </patternFill>
    </fill>
    <fill>
      <patternFill patternType="solid">
        <fgColor rgb="00FFF8E1"/>
      </patternFill>
    </fill>
    <fill>
      <patternFill patternType="solid">
        <fgColor rgb="00EAF2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1" customWidth="1" min="3" max="3"/>
    <col width="7" customWidth="1" min="4" max="4"/>
    <col width="7" customWidth="1" min="5" max="5"/>
    <col width="8" customWidth="1" min="6" max="6"/>
    <col width="7" customWidth="1" min="7" max="7"/>
    <col width="12" customWidth="1" min="8" max="8"/>
    <col width="6" customWidth="1" min="9" max="9"/>
    <col width="10" customWidth="1" min="10" max="10"/>
    <col width="6" customWidth="1" min="11" max="11"/>
    <col width="13" customWidth="1" min="12" max="12"/>
    <col width="10" customWidth="1" min="13" max="13"/>
    <col width="9" customWidth="1" min="14" max="14"/>
    <col width="8" customWidth="1" min="15" max="15"/>
    <col width="8" customWidth="1" min="16" max="16"/>
    <col width="10" customWidth="1" min="17" max="17"/>
    <col width="10" customWidth="1" min="18" max="18"/>
    <col width="9" customWidth="1" min="19" max="19"/>
    <col width="8" customWidth="1" min="20" max="20"/>
    <col width="8" customWidth="1" min="21" max="21"/>
    <col width="9" customWidth="1" min="22" max="22"/>
    <col width="9" customWidth="1" min="23" max="23"/>
    <col width="9" customWidth="1" min="24" max="24"/>
    <col width="10" customWidth="1" min="25" max="25"/>
    <col width="11" customWidth="1" min="26" max="26"/>
    <col width="22" customWidth="1" min="27" max="27"/>
  </cols>
  <sheetData>
    <row r="1">
      <c r="A1" s="1" t="inlineStr">
        <is>
          <t>Rank</t>
        </is>
      </c>
      <c r="B1" s="1" t="inlineStr">
        <is>
          <t>Vessel</t>
        </is>
      </c>
      <c r="C1" s="1" t="inlineStr">
        <is>
          <t>Category</t>
        </is>
      </c>
      <c r="D1" s="1" t="inlineStr">
        <is>
          <t>Guests</t>
        </is>
      </c>
      <c r="E1" s="1" t="inlineStr">
        <is>
          <t>Cabins</t>
        </is>
      </c>
      <c r="F1" s="1" t="inlineStr">
        <is>
          <t>Length m</t>
        </is>
      </c>
      <c r="G1" s="1" t="inlineStr">
        <is>
          <t>Beam m</t>
        </is>
      </c>
      <c r="H1" s="1" t="inlineStr">
        <is>
          <t>Gross tonnage</t>
        </is>
      </c>
      <c r="I1" s="1" t="inlineStr">
        <is>
          <t>Crew</t>
        </is>
      </c>
      <c r="J1" s="1" t="inlineStr">
        <is>
          <t>Price $/day</t>
        </is>
      </c>
      <c r="K1" s="1" t="inlineStr">
        <is>
          <t>Stars</t>
        </is>
      </c>
      <c r="L1" s="1" t="inlineStr">
        <is>
          <t>Avg Itin Quality</t>
        </is>
      </c>
      <c r="M1" s="1" t="inlineStr">
        <is>
          <t>Area/guest</t>
        </is>
      </c>
      <c r="N1" s="1" t="inlineStr">
        <is>
          <t>Ton/guest</t>
        </is>
      </c>
      <c r="O1" s="1" t="inlineStr">
        <is>
          <t>space01</t>
        </is>
      </c>
      <c r="P1" s="1" t="inlineStr">
        <is>
          <t>ton01</t>
        </is>
      </c>
      <c r="Q1" s="1" t="inlineStr">
        <is>
          <t>SpaceScore</t>
        </is>
      </c>
      <c r="R1" s="1" t="inlineStr">
        <is>
          <t>crew/guest</t>
        </is>
      </c>
      <c r="S1" s="1" t="inlineStr">
        <is>
          <t>service01</t>
        </is>
      </c>
      <c r="T1" s="1" t="inlineStr">
        <is>
          <t>stars01</t>
        </is>
      </c>
      <c r="U1" s="1" t="inlineStr">
        <is>
          <t>itin01</t>
        </is>
      </c>
      <c r="V1" s="1" t="inlineStr">
        <is>
          <t>Quality</t>
        </is>
      </c>
      <c r="W1" s="1" t="inlineStr">
        <is>
          <t>Value/$</t>
        </is>
      </c>
      <c r="X1" s="1" t="inlineStr">
        <is>
          <t>Penalty</t>
        </is>
      </c>
      <c r="Y1" s="1" t="inlineStr">
        <is>
          <t>VALUE base</t>
        </is>
      </c>
      <c r="Z1" s="1" t="inlineStr">
        <is>
          <t>VALUE Score</t>
        </is>
      </c>
      <c r="AA1" s="1" t="inlineStr">
        <is>
          <t>Flags</t>
        </is>
      </c>
    </row>
    <row r="2">
      <c r="A2" s="2">
        <f>IF(Z2="","",RANK(Z2,$Z$2:$Z$127))</f>
        <v/>
      </c>
      <c r="B2" t="inlineStr">
        <is>
          <t>Grand Queen Beatriz</t>
        </is>
      </c>
      <c r="C2" t="inlineStr">
        <is>
          <t>Premium</t>
        </is>
      </c>
      <c r="D2" s="3" t="n">
        <v>16</v>
      </c>
      <c r="E2" s="3" t="n">
        <v>9</v>
      </c>
      <c r="F2" s="3" t="n">
        <v>41</v>
      </c>
      <c r="G2" s="3" t="n">
        <v>20</v>
      </c>
      <c r="H2" s="3" t="n"/>
      <c r="I2" s="3" t="n">
        <v>10</v>
      </c>
      <c r="J2" s="3" t="n">
        <v>3185</v>
      </c>
      <c r="K2" s="3" t="n">
        <v>4</v>
      </c>
      <c r="M2" s="2">
        <f>IF(OR(F2="",G2="",D2=""),"",ROUND(F2*G2/D2,1))</f>
        <v/>
      </c>
      <c r="N2" s="2">
        <f>IF(OR(H2="",D2=""),"",ROUND(H2/D2,1))</f>
        <v/>
      </c>
      <c r="O2" s="2">
        <f>IFERROR(IF(M2="","",(M2-MIN($M$2:$M$127))/(MAX($M$2:$M$127)-MIN($M$2:$M$127))),"")</f>
        <v/>
      </c>
      <c r="P2" s="2">
        <f>IFERROR(IF(N2="","",(N2-MIN($N$2:$N$127))/(MAX($N$2:$N$127)-MIN($N$2:$N$127))),"")</f>
        <v/>
      </c>
      <c r="Q2" s="2">
        <f>IF(O2="","",IF(P2="",O2,(O2+P2)/2))</f>
        <v/>
      </c>
      <c r="R2" s="2">
        <f>IF(OR(I2="",D2=""),"",I2/D2)</f>
        <v/>
      </c>
      <c r="S2" s="2">
        <f>IFERROR(IF(R2="","",(R2-MIN($R$2:$R$127))/(MAX($R$2:$R$127)-MIN($R$2:$R$127))),"")</f>
        <v/>
      </c>
      <c r="T2" s="2">
        <f>IFERROR(IF(K2="","",(K2-MIN($K$2:$K$127))/(MAX($K$2:$K$127)-MIN($K$2:$K$127))),"")</f>
        <v/>
      </c>
      <c r="U2" s="2">
        <f>IFERROR(IF(L2="","",(L2-MIN($L$2:$L$127))/(MAX($L$2:$L$127)-MIN($L$2:$L$127))),"")</f>
        <v/>
      </c>
      <c r="V2" s="2">
        <f>IF(Q2="","",W_space*Q2+W_service*IF(S2="",0,S2)+W_cat*IF(T2="",0,T2)+W_itin*IF(U2="",0,U2))</f>
        <v/>
      </c>
      <c r="W2" s="2">
        <f>IF(OR(V2="",J2=""),"",V2/(J2/1000))</f>
        <v/>
      </c>
      <c r="X2" s="2">
        <f>IF(F2="",PenMissing,1)*IF(G2="",PenMissing,1)*IF(I2="",PenMissing,1)*IF(J2="",PenMissing,1)</f>
        <v/>
      </c>
      <c r="Y2" s="2">
        <f>IFERROR(IF(W2="","",100*(W2-MIN($W$2:$W$127))/(MAX($W$2:$W$127)-MIN($W$2:$W$127))),"")</f>
        <v/>
      </c>
      <c r="Z2" s="2">
        <f>IF(Y2="","",ROUND(Y2*X2,1))</f>
        <v/>
      </c>
      <c r="AA2" t="inlineStr">
        <is>
          <t>length_ft_m_mismatch, no_engine_data</t>
        </is>
      </c>
    </row>
    <row r="3">
      <c r="A3" s="2">
        <f>IF(Z3="","",RANK(Z3,$Z$2:$Z$127))</f>
        <v/>
      </c>
      <c r="B3" t="inlineStr">
        <is>
          <t>Treasure Of Galapagos</t>
        </is>
      </c>
      <c r="C3" t="inlineStr">
        <is>
          <t>First Class</t>
        </is>
      </c>
      <c r="D3" s="3" t="n">
        <v>16</v>
      </c>
      <c r="E3" s="3" t="n">
        <v>9</v>
      </c>
      <c r="F3" s="3" t="n">
        <v>31</v>
      </c>
      <c r="G3" s="3" t="n">
        <v>20</v>
      </c>
      <c r="H3" s="3" t="n"/>
      <c r="I3" s="3" t="n">
        <v>11</v>
      </c>
      <c r="J3" s="3" t="n">
        <v>4150</v>
      </c>
      <c r="K3" s="3" t="n">
        <v>4</v>
      </c>
      <c r="L3" t="n">
        <v>58.8</v>
      </c>
      <c r="M3" s="2">
        <f>IF(OR(F3="",G3="",D3=""),"",ROUND(F3*G3/D3,1))</f>
        <v/>
      </c>
      <c r="N3" s="2">
        <f>IF(OR(H3="",D3=""),"",ROUND(H3/D3,1))</f>
        <v/>
      </c>
      <c r="O3" s="2">
        <f>IFERROR(IF(M3="","",(M3-MIN($M$2:$M$127))/(MAX($M$2:$M$127)-MIN($M$2:$M$127))),"")</f>
        <v/>
      </c>
      <c r="P3" s="2">
        <f>IFERROR(IF(N3="","",(N3-MIN($N$2:$N$127))/(MAX($N$2:$N$127)-MIN($N$2:$N$127))),"")</f>
        <v/>
      </c>
      <c r="Q3" s="2">
        <f>IF(O3="","",IF(P3="",O3,(O3+P3)/2))</f>
        <v/>
      </c>
      <c r="R3" s="2">
        <f>IF(OR(I3="",D3=""),"",I3/D3)</f>
        <v/>
      </c>
      <c r="S3" s="2">
        <f>IFERROR(IF(R3="","",(R3-MIN($R$2:$R$127))/(MAX($R$2:$R$127)-MIN($R$2:$R$127))),"")</f>
        <v/>
      </c>
      <c r="T3" s="2">
        <f>IFERROR(IF(K3="","",(K3-MIN($K$2:$K$127))/(MAX($K$2:$K$127)-MIN($K$2:$K$127))),"")</f>
        <v/>
      </c>
      <c r="U3" s="2">
        <f>IFERROR(IF(L3="","",(L3-MIN($L$2:$L$127))/(MAX($L$2:$L$127)-MIN($L$2:$L$127))),"")</f>
        <v/>
      </c>
      <c r="V3" s="2">
        <f>IF(Q3="","",W_space*Q3+W_service*IF(S3="",0,S3)+W_cat*IF(T3="",0,T3)+W_itin*IF(U3="",0,U3))</f>
        <v/>
      </c>
      <c r="W3" s="2">
        <f>IF(OR(V3="",J3=""),"",V3/(J3/1000))</f>
        <v/>
      </c>
      <c r="X3" s="2">
        <f>IF(F3="",PenMissing,1)*IF(G3="",PenMissing,1)*IF(I3="",PenMissing,1)*IF(J3="",PenMissing,1)</f>
        <v/>
      </c>
      <c r="Y3" s="2">
        <f>IFERROR(IF(W3="","",100*(W3-MIN($W$2:$W$127))/(MAX($W$2:$W$127)-MIN($W$2:$W$127))),"")</f>
        <v/>
      </c>
      <c r="Z3" s="2">
        <f>IF(Y3="","",ROUND(Y3*X3,1))</f>
        <v/>
      </c>
      <c r="AA3" t="inlineStr"/>
    </row>
    <row r="4">
      <c r="A4" s="2">
        <f>IF(Z4="","",RANK(Z4,$Z$2:$Z$127))</f>
        <v/>
      </c>
      <c r="B4" t="inlineStr">
        <is>
          <t>Tip Top Ii</t>
        </is>
      </c>
      <c r="C4" t="inlineStr">
        <is>
          <t>Premium</t>
        </is>
      </c>
      <c r="D4" s="3" t="n">
        <v>16</v>
      </c>
      <c r="E4" s="3" t="n">
        <v>10</v>
      </c>
      <c r="F4" s="3" t="n">
        <v>31.7</v>
      </c>
      <c r="G4" s="3" t="n">
        <v>12</v>
      </c>
      <c r="H4" s="3" t="n"/>
      <c r="I4" s="3" t="n">
        <v>9</v>
      </c>
      <c r="J4" s="3" t="n">
        <v>2863</v>
      </c>
      <c r="K4" s="3" t="n">
        <v>4</v>
      </c>
      <c r="L4" t="n">
        <v>62.8</v>
      </c>
      <c r="M4" s="2">
        <f>IF(OR(F4="",G4="",D4=""),"",ROUND(F4*G4/D4,1))</f>
        <v/>
      </c>
      <c r="N4" s="2">
        <f>IF(OR(H4="",D4=""),"",ROUND(H4/D4,1))</f>
        <v/>
      </c>
      <c r="O4" s="2">
        <f>IFERROR(IF(M4="","",(M4-MIN($M$2:$M$127))/(MAX($M$2:$M$127)-MIN($M$2:$M$127))),"")</f>
        <v/>
      </c>
      <c r="P4" s="2">
        <f>IFERROR(IF(N4="","",(N4-MIN($N$2:$N$127))/(MAX($N$2:$N$127)-MIN($N$2:$N$127))),"")</f>
        <v/>
      </c>
      <c r="Q4" s="2">
        <f>IF(O4="","",IF(P4="",O4,(O4+P4)/2))</f>
        <v/>
      </c>
      <c r="R4" s="2">
        <f>IF(OR(I4="",D4=""),"",I4/D4)</f>
        <v/>
      </c>
      <c r="S4" s="2">
        <f>IFERROR(IF(R4="","",(R4-MIN($R$2:$R$127))/(MAX($R$2:$R$127)-MIN($R$2:$R$127))),"")</f>
        <v/>
      </c>
      <c r="T4" s="2">
        <f>IFERROR(IF(K4="","",(K4-MIN($K$2:$K$127))/(MAX($K$2:$K$127)-MIN($K$2:$K$127))),"")</f>
        <v/>
      </c>
      <c r="U4" s="2">
        <f>IFERROR(IF(L4="","",(L4-MIN($L$2:$L$127))/(MAX($L$2:$L$127)-MIN($L$2:$L$127))),"")</f>
        <v/>
      </c>
      <c r="V4" s="2">
        <f>IF(Q4="","",W_space*Q4+W_service*IF(S4="",0,S4)+W_cat*IF(T4="",0,T4)+W_itin*IF(U4="",0,U4))</f>
        <v/>
      </c>
      <c r="W4" s="2">
        <f>IF(OR(V4="",J4=""),"",V4/(J4/1000))</f>
        <v/>
      </c>
      <c r="X4" s="2">
        <f>IF(F4="",PenMissing,1)*IF(G4="",PenMissing,1)*IF(I4="",PenMissing,1)*IF(J4="",PenMissing,1)</f>
        <v/>
      </c>
      <c r="Y4" s="2">
        <f>IFERROR(IF(W4="","",100*(W4-MIN($W$2:$W$127))/(MAX($W$2:$W$127)-MIN($W$2:$W$127))),"")</f>
        <v/>
      </c>
      <c r="Z4" s="2">
        <f>IF(Y4="","",ROUND(Y4*X4,1))</f>
        <v/>
      </c>
      <c r="AA4" t="inlineStr"/>
    </row>
    <row r="5">
      <c r="A5" s="2">
        <f>IF(Z5="","",RANK(Z5,$Z$2:$Z$127))</f>
        <v/>
      </c>
      <c r="B5" t="inlineStr">
        <is>
          <t>Grand Daphne</t>
        </is>
      </c>
      <c r="C5" t="inlineStr">
        <is>
          <t>Classic</t>
        </is>
      </c>
      <c r="D5" s="3" t="n">
        <v>16</v>
      </c>
      <c r="E5" s="3" t="n">
        <v>9</v>
      </c>
      <c r="F5" s="3" t="n">
        <v>21</v>
      </c>
      <c r="G5" s="3" t="n">
        <v>20</v>
      </c>
      <c r="H5" s="3" t="n"/>
      <c r="I5" s="3" t="n">
        <v>8</v>
      </c>
      <c r="J5" s="3" t="n">
        <v>3207</v>
      </c>
      <c r="K5" s="3" t="n">
        <v>4</v>
      </c>
      <c r="M5" s="2">
        <f>IF(OR(F5="",G5="",D5=""),"",ROUND(F5*G5/D5,1))</f>
        <v/>
      </c>
      <c r="N5" s="2">
        <f>IF(OR(H5="",D5=""),"",ROUND(H5/D5,1))</f>
        <v/>
      </c>
      <c r="O5" s="2">
        <f>IFERROR(IF(M5="","",(M5-MIN($M$2:$M$127))/(MAX($M$2:$M$127)-MIN($M$2:$M$127))),"")</f>
        <v/>
      </c>
      <c r="P5" s="2">
        <f>IFERROR(IF(N5="","",(N5-MIN($N$2:$N$127))/(MAX($N$2:$N$127)-MIN($N$2:$N$127))),"")</f>
        <v/>
      </c>
      <c r="Q5" s="2">
        <f>IF(O5="","",IF(P5="",O5,(O5+P5)/2))</f>
        <v/>
      </c>
      <c r="R5" s="2">
        <f>IF(OR(I5="",D5=""),"",I5/D5)</f>
        <v/>
      </c>
      <c r="S5" s="2">
        <f>IFERROR(IF(R5="","",(R5-MIN($R$2:$R$127))/(MAX($R$2:$R$127)-MIN($R$2:$R$127))),"")</f>
        <v/>
      </c>
      <c r="T5" s="2">
        <f>IFERROR(IF(K5="","",(K5-MIN($K$2:$K$127))/(MAX($K$2:$K$127)-MIN($K$2:$K$127))),"")</f>
        <v/>
      </c>
      <c r="U5" s="2">
        <f>IFERROR(IF(L5="","",(L5-MIN($L$2:$L$127))/(MAX($L$2:$L$127)-MIN($L$2:$L$127))),"")</f>
        <v/>
      </c>
      <c r="V5" s="2">
        <f>IF(Q5="","",W_space*Q5+W_service*IF(S5="",0,S5)+W_cat*IF(T5="",0,T5)+W_itin*IF(U5="",0,U5))</f>
        <v/>
      </c>
      <c r="W5" s="2">
        <f>IF(OR(V5="",J5=""),"",V5/(J5/1000))</f>
        <v/>
      </c>
      <c r="X5" s="2">
        <f>IF(F5="",PenMissing,1)*IF(G5="",PenMissing,1)*IF(I5="",PenMissing,1)*IF(J5="",PenMissing,1)</f>
        <v/>
      </c>
      <c r="Y5" s="2">
        <f>IFERROR(IF(W5="","",100*(W5-MIN($W$2:$W$127))/(MAX($W$2:$W$127)-MIN($W$2:$W$127))),"")</f>
        <v/>
      </c>
      <c r="Z5" s="2">
        <f>IF(Y5="","",ROUND(Y5*X5,1))</f>
        <v/>
      </c>
      <c r="AA5" t="inlineStr">
        <is>
          <t>length_ft_m_mismatch</t>
        </is>
      </c>
    </row>
    <row r="6">
      <c r="A6" s="2">
        <f>IF(Z6="","",RANK(Z6,$Z$2:$Z$127))</f>
        <v/>
      </c>
      <c r="B6" t="inlineStr">
        <is>
          <t>Archipel I</t>
        </is>
      </c>
      <c r="D6" s="3" t="n">
        <v>16</v>
      </c>
      <c r="E6" s="3" t="n">
        <v>8</v>
      </c>
      <c r="F6" s="3" t="n">
        <v>27</v>
      </c>
      <c r="G6" s="3" t="n">
        <v>11</v>
      </c>
      <c r="H6" s="3" t="n"/>
      <c r="I6" s="3" t="n">
        <v>9</v>
      </c>
      <c r="J6" s="3" t="n">
        <v>2395</v>
      </c>
      <c r="K6" s="3" t="n">
        <v>3</v>
      </c>
      <c r="M6" s="2">
        <f>IF(OR(F6="",G6="",D6=""),"",ROUND(F6*G6/D6,1))</f>
        <v/>
      </c>
      <c r="N6" s="2">
        <f>IF(OR(H6="",D6=""),"",ROUND(H6/D6,1))</f>
        <v/>
      </c>
      <c r="O6" s="2">
        <f>IFERROR(IF(M6="","",(M6-MIN($M$2:$M$127))/(MAX($M$2:$M$127)-MIN($M$2:$M$127))),"")</f>
        <v/>
      </c>
      <c r="P6" s="2">
        <f>IFERROR(IF(N6="","",(N6-MIN($N$2:$N$127))/(MAX($N$2:$N$127)-MIN($N$2:$N$127))),"")</f>
        <v/>
      </c>
      <c r="Q6" s="2">
        <f>IF(O6="","",IF(P6="",O6,(O6+P6)/2))</f>
        <v/>
      </c>
      <c r="R6" s="2">
        <f>IF(OR(I6="",D6=""),"",I6/D6)</f>
        <v/>
      </c>
      <c r="S6" s="2">
        <f>IFERROR(IF(R6="","",(R6-MIN($R$2:$R$127))/(MAX($R$2:$R$127)-MIN($R$2:$R$127))),"")</f>
        <v/>
      </c>
      <c r="T6" s="2">
        <f>IFERROR(IF(K6="","",(K6-MIN($K$2:$K$127))/(MAX($K$2:$K$127)-MIN($K$2:$K$127))),"")</f>
        <v/>
      </c>
      <c r="U6" s="2">
        <f>IFERROR(IF(L6="","",(L6-MIN($L$2:$L$127))/(MAX($L$2:$L$127)-MIN($L$2:$L$127))),"")</f>
        <v/>
      </c>
      <c r="V6" s="2">
        <f>IF(Q6="","",W_space*Q6+W_service*IF(S6="",0,S6)+W_cat*IF(T6="",0,T6)+W_itin*IF(U6="",0,U6))</f>
        <v/>
      </c>
      <c r="W6" s="2">
        <f>IF(OR(V6="",J6=""),"",V6/(J6/1000))</f>
        <v/>
      </c>
      <c r="X6" s="2">
        <f>IF(F6="",PenMissing,1)*IF(G6="",PenMissing,1)*IF(I6="",PenMissing,1)*IF(J6="",PenMissing,1)</f>
        <v/>
      </c>
      <c r="Y6" s="2">
        <f>IFERROR(IF(W6="","",100*(W6-MIN($W$2:$W$127))/(MAX($W$2:$W$127)-MIN($W$2:$W$127))),"")</f>
        <v/>
      </c>
      <c r="Z6" s="2">
        <f>IF(Y6="","",ROUND(Y6*X6,1))</f>
        <v/>
      </c>
      <c r="AA6" t="inlineStr"/>
    </row>
    <row r="7">
      <c r="A7" s="2">
        <f>IF(Z7="","",RANK(Z7,$Z$2:$Z$127))</f>
        <v/>
      </c>
      <c r="B7" t="inlineStr">
        <is>
          <t>Nemo Ii</t>
        </is>
      </c>
      <c r="C7" t="inlineStr">
        <is>
          <t>Classic</t>
        </is>
      </c>
      <c r="D7" s="3" t="n">
        <v>14</v>
      </c>
      <c r="E7" s="3" t="n">
        <v>7</v>
      </c>
      <c r="F7" s="3" t="n">
        <v>22</v>
      </c>
      <c r="G7" s="3" t="n">
        <v>10</v>
      </c>
      <c r="H7" s="3" t="n"/>
      <c r="I7" s="3" t="n">
        <v>8</v>
      </c>
      <c r="J7" s="3" t="n">
        <v>2100</v>
      </c>
      <c r="K7" s="3" t="n">
        <v>3</v>
      </c>
      <c r="L7" t="n">
        <v>63.2</v>
      </c>
      <c r="M7" s="2">
        <f>IF(OR(F7="",G7="",D7=""),"",ROUND(F7*G7/D7,1))</f>
        <v/>
      </c>
      <c r="N7" s="2">
        <f>IF(OR(H7="",D7=""),"",ROUND(H7/D7,1))</f>
        <v/>
      </c>
      <c r="O7" s="2">
        <f>IFERROR(IF(M7="","",(M7-MIN($M$2:$M$127))/(MAX($M$2:$M$127)-MIN($M$2:$M$127))),"")</f>
        <v/>
      </c>
      <c r="P7" s="2">
        <f>IFERROR(IF(N7="","",(N7-MIN($N$2:$N$127))/(MAX($N$2:$N$127)-MIN($N$2:$N$127))),"")</f>
        <v/>
      </c>
      <c r="Q7" s="2">
        <f>IF(O7="","",IF(P7="",O7,(O7+P7)/2))</f>
        <v/>
      </c>
      <c r="R7" s="2">
        <f>IF(OR(I7="",D7=""),"",I7/D7)</f>
        <v/>
      </c>
      <c r="S7" s="2">
        <f>IFERROR(IF(R7="","",(R7-MIN($R$2:$R$127))/(MAX($R$2:$R$127)-MIN($R$2:$R$127))),"")</f>
        <v/>
      </c>
      <c r="T7" s="2">
        <f>IFERROR(IF(K7="","",(K7-MIN($K$2:$K$127))/(MAX($K$2:$K$127)-MIN($K$2:$K$127))),"")</f>
        <v/>
      </c>
      <c r="U7" s="2">
        <f>IFERROR(IF(L7="","",(L7-MIN($L$2:$L$127))/(MAX($L$2:$L$127)-MIN($L$2:$L$127))),"")</f>
        <v/>
      </c>
      <c r="V7" s="2">
        <f>IF(Q7="","",W_space*Q7+W_service*IF(S7="",0,S7)+W_cat*IF(T7="",0,T7)+W_itin*IF(U7="",0,U7))</f>
        <v/>
      </c>
      <c r="W7" s="2">
        <f>IF(OR(V7="",J7=""),"",V7/(J7/1000))</f>
        <v/>
      </c>
      <c r="X7" s="2">
        <f>IF(F7="",PenMissing,1)*IF(G7="",PenMissing,1)*IF(I7="",PenMissing,1)*IF(J7="",PenMissing,1)</f>
        <v/>
      </c>
      <c r="Y7" s="2">
        <f>IFERROR(IF(W7="","",100*(W7-MIN($W$2:$W$127))/(MAX($W$2:$W$127)-MIN($W$2:$W$127))),"")</f>
        <v/>
      </c>
      <c r="Z7" s="2">
        <f>IF(Y7="","",ROUND(Y7*X7,1))</f>
        <v/>
      </c>
      <c r="AA7" t="inlineStr"/>
    </row>
    <row r="8">
      <c r="A8" s="2">
        <f>IF(Z8="","",RANK(Z8,$Z$2:$Z$127))</f>
        <v/>
      </c>
      <c r="B8" t="inlineStr">
        <is>
          <t>Galapagos Horizon</t>
        </is>
      </c>
      <c r="C8" t="inlineStr">
        <is>
          <t>Luxury</t>
        </is>
      </c>
      <c r="D8" s="3" t="n">
        <v>16</v>
      </c>
      <c r="E8" s="3" t="n">
        <v>8</v>
      </c>
      <c r="F8" s="3" t="n">
        <v>38</v>
      </c>
      <c r="G8" s="3" t="n">
        <v>13</v>
      </c>
      <c r="H8" s="3" t="n"/>
      <c r="I8" s="3" t="n">
        <v>10</v>
      </c>
      <c r="J8" s="3" t="n">
        <v>4145</v>
      </c>
      <c r="K8" s="3" t="n">
        <v>5</v>
      </c>
      <c r="M8" s="2">
        <f>IF(OR(F8="",G8="",D8=""),"",ROUND(F8*G8/D8,1))</f>
        <v/>
      </c>
      <c r="N8" s="2">
        <f>IF(OR(H8="",D8=""),"",ROUND(H8/D8,1))</f>
        <v/>
      </c>
      <c r="O8" s="2">
        <f>IFERROR(IF(M8="","",(M8-MIN($M$2:$M$127))/(MAX($M$2:$M$127)-MIN($M$2:$M$127))),"")</f>
        <v/>
      </c>
      <c r="P8" s="2">
        <f>IFERROR(IF(N8="","",(N8-MIN($N$2:$N$127))/(MAX($N$2:$N$127)-MIN($N$2:$N$127))),"")</f>
        <v/>
      </c>
      <c r="Q8" s="2">
        <f>IF(O8="","",IF(P8="",O8,(O8+P8)/2))</f>
        <v/>
      </c>
      <c r="R8" s="2">
        <f>IF(OR(I8="",D8=""),"",I8/D8)</f>
        <v/>
      </c>
      <c r="S8" s="2">
        <f>IFERROR(IF(R8="","",(R8-MIN($R$2:$R$127))/(MAX($R$2:$R$127)-MIN($R$2:$R$127))),"")</f>
        <v/>
      </c>
      <c r="T8" s="2">
        <f>IFERROR(IF(K8="","",(K8-MIN($K$2:$K$127))/(MAX($K$2:$K$127)-MIN($K$2:$K$127))),"")</f>
        <v/>
      </c>
      <c r="U8" s="2">
        <f>IFERROR(IF(L8="","",(L8-MIN($L$2:$L$127))/(MAX($L$2:$L$127)-MIN($L$2:$L$127))),"")</f>
        <v/>
      </c>
      <c r="V8" s="2">
        <f>IF(Q8="","",W_space*Q8+W_service*IF(S8="",0,S8)+W_cat*IF(T8="",0,T8)+W_itin*IF(U8="",0,U8))</f>
        <v/>
      </c>
      <c r="W8" s="2">
        <f>IF(OR(V8="",J8=""),"",V8/(J8/1000))</f>
        <v/>
      </c>
      <c r="X8" s="2">
        <f>IF(F8="",PenMissing,1)*IF(G8="",PenMissing,1)*IF(I8="",PenMissing,1)*IF(J8="",PenMissing,1)</f>
        <v/>
      </c>
      <c r="Y8" s="2">
        <f>IFERROR(IF(W8="","",100*(W8-MIN($W$2:$W$127))/(MAX($W$2:$W$127)-MIN($W$2:$W$127))),"")</f>
        <v/>
      </c>
      <c r="Z8" s="2">
        <f>IF(Y8="","",ROUND(Y8*X8,1))</f>
        <v/>
      </c>
      <c r="AA8" t="inlineStr"/>
    </row>
    <row r="9">
      <c r="A9" s="2">
        <f>IF(Z9="","",RANK(Z9,$Z$2:$Z$127))</f>
        <v/>
      </c>
      <c r="B9" t="inlineStr">
        <is>
          <t>Galapagos Legend</t>
        </is>
      </c>
      <c r="C9" t="inlineStr">
        <is>
          <t>Premium</t>
        </is>
      </c>
      <c r="D9" s="3" t="n">
        <v>100</v>
      </c>
      <c r="E9" s="3" t="n">
        <v>56</v>
      </c>
      <c r="F9" s="3" t="n">
        <v>92</v>
      </c>
      <c r="G9" s="3" t="n">
        <v>15</v>
      </c>
      <c r="H9" s="3" t="n"/>
      <c r="I9" s="3" t="n">
        <v>2</v>
      </c>
      <c r="J9" s="3" t="n">
        <v>2082</v>
      </c>
      <c r="K9" s="3" t="n">
        <v>5</v>
      </c>
      <c r="L9" t="n">
        <v>62.4</v>
      </c>
      <c r="M9" s="2">
        <f>IF(OR(F9="",G9="",D9=""),"",ROUND(F9*G9/D9,1))</f>
        <v/>
      </c>
      <c r="N9" s="2">
        <f>IF(OR(H9="",D9=""),"",ROUND(H9/D9,1))</f>
        <v/>
      </c>
      <c r="O9" s="2">
        <f>IFERROR(IF(M9="","",(M9-MIN($M$2:$M$127))/(MAX($M$2:$M$127)-MIN($M$2:$M$127))),"")</f>
        <v/>
      </c>
      <c r="P9" s="2">
        <f>IFERROR(IF(N9="","",(N9-MIN($N$2:$N$127))/(MAX($N$2:$N$127)-MIN($N$2:$N$127))),"")</f>
        <v/>
      </c>
      <c r="Q9" s="2">
        <f>IF(O9="","",IF(P9="",O9,(O9+P9)/2))</f>
        <v/>
      </c>
      <c r="R9" s="2">
        <f>IF(OR(I9="",D9=""),"",I9/D9)</f>
        <v/>
      </c>
      <c r="S9" s="2">
        <f>IFERROR(IF(R9="","",(R9-MIN($R$2:$R$127))/(MAX($R$2:$R$127)-MIN($R$2:$R$127))),"")</f>
        <v/>
      </c>
      <c r="T9" s="2">
        <f>IFERROR(IF(K9="","",(K9-MIN($K$2:$K$127))/(MAX($K$2:$K$127)-MIN($K$2:$K$127))),"")</f>
        <v/>
      </c>
      <c r="U9" s="2">
        <f>IFERROR(IF(L9="","",(L9-MIN($L$2:$L$127))/(MAX($L$2:$L$127)-MIN($L$2:$L$127))),"")</f>
        <v/>
      </c>
      <c r="V9" s="2">
        <f>IF(Q9="","",W_space*Q9+W_service*IF(S9="",0,S9)+W_cat*IF(T9="",0,T9)+W_itin*IF(U9="",0,U9))</f>
        <v/>
      </c>
      <c r="W9" s="2">
        <f>IF(OR(V9="",J9=""),"",V9/(J9/1000))</f>
        <v/>
      </c>
      <c r="X9" s="2">
        <f>IF(F9="",PenMissing,1)*IF(G9="",PenMissing,1)*IF(I9="",PenMissing,1)*IF(J9="",PenMissing,1)</f>
        <v/>
      </c>
      <c r="Y9" s="2">
        <f>IFERROR(IF(W9="","",100*(W9-MIN($W$2:$W$127))/(MAX($W$2:$W$127)-MIN($W$2:$W$127))),"")</f>
        <v/>
      </c>
      <c r="Z9" s="2">
        <f>IF(Y9="","",ROUND(Y9*X9,1))</f>
        <v/>
      </c>
      <c r="AA9" t="inlineStr"/>
    </row>
    <row r="10">
      <c r="A10" s="2">
        <f>IF(Z10="","",RANK(Z10,$Z$2:$Z$127))</f>
        <v/>
      </c>
      <c r="B10" t="inlineStr">
        <is>
          <t>Beluga</t>
        </is>
      </c>
      <c r="C10" t="inlineStr">
        <is>
          <t>Premium</t>
        </is>
      </c>
      <c r="D10" s="3" t="n">
        <v>16</v>
      </c>
      <c r="E10" s="3" t="n">
        <v>8</v>
      </c>
      <c r="F10" s="3" t="n">
        <v>34</v>
      </c>
      <c r="G10" s="3" t="n">
        <v>7</v>
      </c>
      <c r="H10" s="3" t="n"/>
      <c r="I10" s="3" t="n">
        <v>3</v>
      </c>
      <c r="J10" s="3" t="n">
        <v>2250</v>
      </c>
      <c r="K10" s="3" t="n">
        <v>4</v>
      </c>
      <c r="L10" t="n">
        <v>65.3</v>
      </c>
      <c r="M10" s="2">
        <f>IF(OR(F10="",G10="",D10=""),"",ROUND(F10*G10/D10,1))</f>
        <v/>
      </c>
      <c r="N10" s="2">
        <f>IF(OR(H10="",D10=""),"",ROUND(H10/D10,1))</f>
        <v/>
      </c>
      <c r="O10" s="2">
        <f>IFERROR(IF(M10="","",(M10-MIN($M$2:$M$127))/(MAX($M$2:$M$127)-MIN($M$2:$M$127))),"")</f>
        <v/>
      </c>
      <c r="P10" s="2">
        <f>IFERROR(IF(N10="","",(N10-MIN($N$2:$N$127))/(MAX($N$2:$N$127)-MIN($N$2:$N$127))),"")</f>
        <v/>
      </c>
      <c r="Q10" s="2">
        <f>IF(O10="","",IF(P10="",O10,(O10+P10)/2))</f>
        <v/>
      </c>
      <c r="R10" s="2">
        <f>IF(OR(I10="",D10=""),"",I10/D10)</f>
        <v/>
      </c>
      <c r="S10" s="2">
        <f>IFERROR(IF(R10="","",(R10-MIN($R$2:$R$127))/(MAX($R$2:$R$127)-MIN($R$2:$R$127))),"")</f>
        <v/>
      </c>
      <c r="T10" s="2">
        <f>IFERROR(IF(K10="","",(K10-MIN($K$2:$K$127))/(MAX($K$2:$K$127)-MIN($K$2:$K$127))),"")</f>
        <v/>
      </c>
      <c r="U10" s="2">
        <f>IFERROR(IF(L10="","",(L10-MIN($L$2:$L$127))/(MAX($L$2:$L$127)-MIN($L$2:$L$127))),"")</f>
        <v/>
      </c>
      <c r="V10" s="2">
        <f>IF(Q10="","",W_space*Q10+W_service*IF(S10="",0,S10)+W_cat*IF(T10="",0,T10)+W_itin*IF(U10="",0,U10))</f>
        <v/>
      </c>
      <c r="W10" s="2">
        <f>IF(OR(V10="",J10=""),"",V10/(J10/1000))</f>
        <v/>
      </c>
      <c r="X10" s="2">
        <f>IF(F10="",PenMissing,1)*IF(G10="",PenMissing,1)*IF(I10="",PenMissing,1)*IF(J10="",PenMissing,1)</f>
        <v/>
      </c>
      <c r="Y10" s="2">
        <f>IFERROR(IF(W10="","",100*(W10-MIN($W$2:$W$127))/(MAX($W$2:$W$127)-MIN($W$2:$W$127))),"")</f>
        <v/>
      </c>
      <c r="Z10" s="2">
        <f>IF(Y10="","",ROUND(Y10*X10,1))</f>
        <v/>
      </c>
      <c r="AA10" t="inlineStr"/>
    </row>
    <row r="11">
      <c r="A11" s="2">
        <f>IF(Z11="","",RANK(Z11,$Z$2:$Z$127))</f>
        <v/>
      </c>
      <c r="B11" t="inlineStr">
        <is>
          <t>Passion</t>
        </is>
      </c>
      <c r="C11" t="inlineStr">
        <is>
          <t>Luxury</t>
        </is>
      </c>
      <c r="D11" s="3" t="n">
        <v>14</v>
      </c>
      <c r="E11" s="3" t="n">
        <v>7</v>
      </c>
      <c r="F11" s="3" t="n">
        <v>48</v>
      </c>
      <c r="G11" s="3" t="n">
        <v>9</v>
      </c>
      <c r="H11" s="3" t="n"/>
      <c r="I11" s="3" t="n">
        <v>12</v>
      </c>
      <c r="J11" s="3" t="n">
        <v>4720</v>
      </c>
      <c r="K11" s="3" t="n">
        <v>5</v>
      </c>
      <c r="L11" t="n">
        <v>62.9</v>
      </c>
      <c r="M11" s="2">
        <f>IF(OR(F11="",G11="",D11=""),"",ROUND(F11*G11/D11,1))</f>
        <v/>
      </c>
      <c r="N11" s="2">
        <f>IF(OR(H11="",D11=""),"",ROUND(H11/D11,1))</f>
        <v/>
      </c>
      <c r="O11" s="2">
        <f>IFERROR(IF(M11="","",(M11-MIN($M$2:$M$127))/(MAX($M$2:$M$127)-MIN($M$2:$M$127))),"")</f>
        <v/>
      </c>
      <c r="P11" s="2">
        <f>IFERROR(IF(N11="","",(N11-MIN($N$2:$N$127))/(MAX($N$2:$N$127)-MIN($N$2:$N$127))),"")</f>
        <v/>
      </c>
      <c r="Q11" s="2">
        <f>IF(O11="","",IF(P11="",O11,(O11+P11)/2))</f>
        <v/>
      </c>
      <c r="R11" s="2">
        <f>IF(OR(I11="",D11=""),"",I11/D11)</f>
        <v/>
      </c>
      <c r="S11" s="2">
        <f>IFERROR(IF(R11="","",(R11-MIN($R$2:$R$127))/(MAX($R$2:$R$127)-MIN($R$2:$R$127))),"")</f>
        <v/>
      </c>
      <c r="T11" s="2">
        <f>IFERROR(IF(K11="","",(K11-MIN($K$2:$K$127))/(MAX($K$2:$K$127)-MIN($K$2:$K$127))),"")</f>
        <v/>
      </c>
      <c r="U11" s="2">
        <f>IFERROR(IF(L11="","",(L11-MIN($L$2:$L$127))/(MAX($L$2:$L$127)-MIN($L$2:$L$127))),"")</f>
        <v/>
      </c>
      <c r="V11" s="2">
        <f>IF(Q11="","",W_space*Q11+W_service*IF(S11="",0,S11)+W_cat*IF(T11="",0,T11)+W_itin*IF(U11="",0,U11))</f>
        <v/>
      </c>
      <c r="W11" s="2">
        <f>IF(OR(V11="",J11=""),"",V11/(J11/1000))</f>
        <v/>
      </c>
      <c r="X11" s="2">
        <f>IF(F11="",PenMissing,1)*IF(G11="",PenMissing,1)*IF(I11="",PenMissing,1)*IF(J11="",PenMissing,1)</f>
        <v/>
      </c>
      <c r="Y11" s="2">
        <f>IFERROR(IF(W11="","",100*(W11-MIN($W$2:$W$127))/(MAX($W$2:$W$127)-MIN($W$2:$W$127))),"")</f>
        <v/>
      </c>
      <c r="Z11" s="2">
        <f>IF(Y11="","",ROUND(Y11*X11,1))</f>
        <v/>
      </c>
      <c r="AA11" t="inlineStr"/>
    </row>
    <row r="12">
      <c r="A12" s="2">
        <f>IF(Z12="","",RANK(Z12,$Z$2:$Z$127))</f>
        <v/>
      </c>
      <c r="B12" t="inlineStr">
        <is>
          <t>Galapagos Angel</t>
        </is>
      </c>
      <c r="C12" t="inlineStr">
        <is>
          <t>Premium</t>
        </is>
      </c>
      <c r="D12" s="3" t="n">
        <v>16</v>
      </c>
      <c r="E12" s="3" t="n">
        <v>8</v>
      </c>
      <c r="F12" s="3" t="n">
        <v>35</v>
      </c>
      <c r="G12" s="3" t="n">
        <v>8</v>
      </c>
      <c r="H12" s="3" t="n"/>
      <c r="I12" s="3" t="n">
        <v>11</v>
      </c>
      <c r="J12" s="3" t="n">
        <v>2745</v>
      </c>
      <c r="K12" s="3" t="n">
        <v>4</v>
      </c>
      <c r="M12" s="2">
        <f>IF(OR(F12="",G12="",D12=""),"",ROUND(F12*G12/D12,1))</f>
        <v/>
      </c>
      <c r="N12" s="2">
        <f>IF(OR(H12="",D12=""),"",ROUND(H12/D12,1))</f>
        <v/>
      </c>
      <c r="O12" s="2">
        <f>IFERROR(IF(M12="","",(M12-MIN($M$2:$M$127))/(MAX($M$2:$M$127)-MIN($M$2:$M$127))),"")</f>
        <v/>
      </c>
      <c r="P12" s="2">
        <f>IFERROR(IF(N12="","",(N12-MIN($N$2:$N$127))/(MAX($N$2:$N$127)-MIN($N$2:$N$127))),"")</f>
        <v/>
      </c>
      <c r="Q12" s="2">
        <f>IF(O12="","",IF(P12="",O12,(O12+P12)/2))</f>
        <v/>
      </c>
      <c r="R12" s="2">
        <f>IF(OR(I12="",D12=""),"",I12/D12)</f>
        <v/>
      </c>
      <c r="S12" s="2">
        <f>IFERROR(IF(R12="","",(R12-MIN($R$2:$R$127))/(MAX($R$2:$R$127)-MIN($R$2:$R$127))),"")</f>
        <v/>
      </c>
      <c r="T12" s="2">
        <f>IFERROR(IF(K12="","",(K12-MIN($K$2:$K$127))/(MAX($K$2:$K$127)-MIN($K$2:$K$127))),"")</f>
        <v/>
      </c>
      <c r="U12" s="2">
        <f>IFERROR(IF(L12="","",(L12-MIN($L$2:$L$127))/(MAX($L$2:$L$127)-MIN($L$2:$L$127))),"")</f>
        <v/>
      </c>
      <c r="V12" s="2">
        <f>IF(Q12="","",W_space*Q12+W_service*IF(S12="",0,S12)+W_cat*IF(T12="",0,T12)+W_itin*IF(U12="",0,U12))</f>
        <v/>
      </c>
      <c r="W12" s="2">
        <f>IF(OR(V12="",J12=""),"",V12/(J12/1000))</f>
        <v/>
      </c>
      <c r="X12" s="2">
        <f>IF(F12="",PenMissing,1)*IF(G12="",PenMissing,1)*IF(I12="",PenMissing,1)*IF(J12="",PenMissing,1)</f>
        <v/>
      </c>
      <c r="Y12" s="2">
        <f>IFERROR(IF(W12="","",100*(W12-MIN($W$2:$W$127))/(MAX($W$2:$W$127)-MIN($W$2:$W$127))),"")</f>
        <v/>
      </c>
      <c r="Z12" s="2">
        <f>IF(Y12="","",ROUND(Y12*X12,1))</f>
        <v/>
      </c>
      <c r="AA12" t="inlineStr"/>
    </row>
    <row r="13">
      <c r="A13" s="2">
        <f>IF(Z13="","",RANK(Z13,$Z$2:$Z$127))</f>
        <v/>
      </c>
      <c r="B13" t="inlineStr">
        <is>
          <t>Ocean Spray</t>
        </is>
      </c>
      <c r="C13" t="inlineStr">
        <is>
          <t>Luxury</t>
        </is>
      </c>
      <c r="D13" s="3" t="n">
        <v>16</v>
      </c>
      <c r="E13" s="3" t="n">
        <v>9</v>
      </c>
      <c r="F13" s="3" t="n">
        <v>34.4</v>
      </c>
      <c r="G13" s="3" t="n">
        <v>13</v>
      </c>
      <c r="H13" s="3" t="n"/>
      <c r="I13" s="3" t="n">
        <v>2</v>
      </c>
      <c r="J13" s="3" t="n">
        <v>4390</v>
      </c>
      <c r="K13" s="3" t="n">
        <v>5</v>
      </c>
      <c r="L13" t="n">
        <v>62.6</v>
      </c>
      <c r="M13" s="2">
        <f>IF(OR(F13="",G13="",D13=""),"",ROUND(F13*G13/D13,1))</f>
        <v/>
      </c>
      <c r="N13" s="2">
        <f>IF(OR(H13="",D13=""),"",ROUND(H13/D13,1))</f>
        <v/>
      </c>
      <c r="O13" s="2">
        <f>IFERROR(IF(M13="","",(M13-MIN($M$2:$M$127))/(MAX($M$2:$M$127)-MIN($M$2:$M$127))),"")</f>
        <v/>
      </c>
      <c r="P13" s="2">
        <f>IFERROR(IF(N13="","",(N13-MIN($N$2:$N$127))/(MAX($N$2:$N$127)-MIN($N$2:$N$127))),"")</f>
        <v/>
      </c>
      <c r="Q13" s="2">
        <f>IF(O13="","",IF(P13="",O13,(O13+P13)/2))</f>
        <v/>
      </c>
      <c r="R13" s="2">
        <f>IF(OR(I13="",D13=""),"",I13/D13)</f>
        <v/>
      </c>
      <c r="S13" s="2">
        <f>IFERROR(IF(R13="","",(R13-MIN($R$2:$R$127))/(MAX($R$2:$R$127)-MIN($R$2:$R$127))),"")</f>
        <v/>
      </c>
      <c r="T13" s="2">
        <f>IFERROR(IF(K13="","",(K13-MIN($K$2:$K$127))/(MAX($K$2:$K$127)-MIN($K$2:$K$127))),"")</f>
        <v/>
      </c>
      <c r="U13" s="2">
        <f>IFERROR(IF(L13="","",(L13-MIN($L$2:$L$127))/(MAX($L$2:$L$127)-MIN($L$2:$L$127))),"")</f>
        <v/>
      </c>
      <c r="V13" s="2">
        <f>IF(Q13="","",W_space*Q13+W_service*IF(S13="",0,S13)+W_cat*IF(T13="",0,T13)+W_itin*IF(U13="",0,U13))</f>
        <v/>
      </c>
      <c r="W13" s="2">
        <f>IF(OR(V13="",J13=""),"",V13/(J13/1000))</f>
        <v/>
      </c>
      <c r="X13" s="2">
        <f>IF(F13="",PenMissing,1)*IF(G13="",PenMissing,1)*IF(I13="",PenMissing,1)*IF(J13="",PenMissing,1)</f>
        <v/>
      </c>
      <c r="Y13" s="2">
        <f>IFERROR(IF(W13="","",100*(W13-MIN($W$2:$W$127))/(MAX($W$2:$W$127)-MIN($W$2:$W$127))),"")</f>
        <v/>
      </c>
      <c r="Z13" s="2">
        <f>IF(Y13="","",ROUND(Y13*X13,1))</f>
        <v/>
      </c>
      <c r="AA13" t="inlineStr"/>
    </row>
    <row r="14">
      <c r="A14" s="2">
        <f>IF(Z14="","",RANK(Z14,$Z$2:$Z$127))</f>
        <v/>
      </c>
      <c r="B14" t="inlineStr">
        <is>
          <t>Infinity</t>
        </is>
      </c>
      <c r="C14" t="inlineStr">
        <is>
          <t>Luxury</t>
        </is>
      </c>
      <c r="D14" s="3" t="n">
        <v>20</v>
      </c>
      <c r="E14" s="3" t="n">
        <v>11</v>
      </c>
      <c r="F14" s="3" t="n">
        <v>49</v>
      </c>
      <c r="G14" s="3" t="n">
        <v>10</v>
      </c>
      <c r="H14" s="3" t="n"/>
      <c r="I14" s="3" t="n">
        <v>13</v>
      </c>
      <c r="J14" s="3" t="n">
        <v>3945</v>
      </c>
      <c r="K14" s="3" t="n">
        <v>5</v>
      </c>
      <c r="L14" t="n">
        <v>61.4</v>
      </c>
      <c r="M14" s="2">
        <f>IF(OR(F14="",G14="",D14=""),"",ROUND(F14*G14/D14,1))</f>
        <v/>
      </c>
      <c r="N14" s="2">
        <f>IF(OR(H14="",D14=""),"",ROUND(H14/D14,1))</f>
        <v/>
      </c>
      <c r="O14" s="2">
        <f>IFERROR(IF(M14="","",(M14-MIN($M$2:$M$127))/(MAX($M$2:$M$127)-MIN($M$2:$M$127))),"")</f>
        <v/>
      </c>
      <c r="P14" s="2">
        <f>IFERROR(IF(N14="","",(N14-MIN($N$2:$N$127))/(MAX($N$2:$N$127)-MIN($N$2:$N$127))),"")</f>
        <v/>
      </c>
      <c r="Q14" s="2">
        <f>IF(O14="","",IF(P14="",O14,(O14+P14)/2))</f>
        <v/>
      </c>
      <c r="R14" s="2">
        <f>IF(OR(I14="",D14=""),"",I14/D14)</f>
        <v/>
      </c>
      <c r="S14" s="2">
        <f>IFERROR(IF(R14="","",(R14-MIN($R$2:$R$127))/(MAX($R$2:$R$127)-MIN($R$2:$R$127))),"")</f>
        <v/>
      </c>
      <c r="T14" s="2">
        <f>IFERROR(IF(K14="","",(K14-MIN($K$2:$K$127))/(MAX($K$2:$K$127)-MIN($K$2:$K$127))),"")</f>
        <v/>
      </c>
      <c r="U14" s="2">
        <f>IFERROR(IF(L14="","",(L14-MIN($L$2:$L$127))/(MAX($L$2:$L$127)-MIN($L$2:$L$127))),"")</f>
        <v/>
      </c>
      <c r="V14" s="2">
        <f>IF(Q14="","",W_space*Q14+W_service*IF(S14="",0,S14)+W_cat*IF(T14="",0,T14)+W_itin*IF(U14="",0,U14))</f>
        <v/>
      </c>
      <c r="W14" s="2">
        <f>IF(OR(V14="",J14=""),"",V14/(J14/1000))</f>
        <v/>
      </c>
      <c r="X14" s="2">
        <f>IF(F14="",PenMissing,1)*IF(G14="",PenMissing,1)*IF(I14="",PenMissing,1)*IF(J14="",PenMissing,1)</f>
        <v/>
      </c>
      <c r="Y14" s="2">
        <f>IFERROR(IF(W14="","",100*(W14-MIN($W$2:$W$127))/(MAX($W$2:$W$127)-MIN($W$2:$W$127))),"")</f>
        <v/>
      </c>
      <c r="Z14" s="2">
        <f>IF(Y14="","",ROUND(Y14*X14,1))</f>
        <v/>
      </c>
      <c r="AA14" t="inlineStr"/>
    </row>
    <row r="15">
      <c r="A15" s="2">
        <f>IF(Z15="","",RANK(Z15,$Z$2:$Z$127))</f>
        <v/>
      </c>
      <c r="B15" t="inlineStr">
        <is>
          <t>Endemic</t>
        </is>
      </c>
      <c r="C15" t="inlineStr">
        <is>
          <t>Luxury</t>
        </is>
      </c>
      <c r="D15" s="3" t="n">
        <v>16</v>
      </c>
      <c r="E15" s="3" t="n">
        <v>9</v>
      </c>
      <c r="F15" s="3" t="n">
        <v>35</v>
      </c>
      <c r="G15" s="3" t="n">
        <v>14</v>
      </c>
      <c r="H15" s="3" t="n"/>
      <c r="I15" s="3" t="n">
        <v>11</v>
      </c>
      <c r="J15" s="3" t="n">
        <v>4990</v>
      </c>
      <c r="K15" s="3" t="n">
        <v>5</v>
      </c>
      <c r="L15" t="n">
        <v>62.7</v>
      </c>
      <c r="M15" s="2">
        <f>IF(OR(F15="",G15="",D15=""),"",ROUND(F15*G15/D15,1))</f>
        <v/>
      </c>
      <c r="N15" s="2">
        <f>IF(OR(H15="",D15=""),"",ROUND(H15/D15,1))</f>
        <v/>
      </c>
      <c r="O15" s="2">
        <f>IFERROR(IF(M15="","",(M15-MIN($M$2:$M$127))/(MAX($M$2:$M$127)-MIN($M$2:$M$127))),"")</f>
        <v/>
      </c>
      <c r="P15" s="2">
        <f>IFERROR(IF(N15="","",(N15-MIN($N$2:$N$127))/(MAX($N$2:$N$127)-MIN($N$2:$N$127))),"")</f>
        <v/>
      </c>
      <c r="Q15" s="2">
        <f>IF(O15="","",IF(P15="",O15,(O15+P15)/2))</f>
        <v/>
      </c>
      <c r="R15" s="2">
        <f>IF(OR(I15="",D15=""),"",I15/D15)</f>
        <v/>
      </c>
      <c r="S15" s="2">
        <f>IFERROR(IF(R15="","",(R15-MIN($R$2:$R$127))/(MAX($R$2:$R$127)-MIN($R$2:$R$127))),"")</f>
        <v/>
      </c>
      <c r="T15" s="2">
        <f>IFERROR(IF(K15="","",(K15-MIN($K$2:$K$127))/(MAX($K$2:$K$127)-MIN($K$2:$K$127))),"")</f>
        <v/>
      </c>
      <c r="U15" s="2">
        <f>IFERROR(IF(L15="","",(L15-MIN($L$2:$L$127))/(MAX($L$2:$L$127)-MIN($L$2:$L$127))),"")</f>
        <v/>
      </c>
      <c r="V15" s="2">
        <f>IF(Q15="","",W_space*Q15+W_service*IF(S15="",0,S15)+W_cat*IF(T15="",0,T15)+W_itin*IF(U15="",0,U15))</f>
        <v/>
      </c>
      <c r="W15" s="2">
        <f>IF(OR(V15="",J15=""),"",V15/(J15/1000))</f>
        <v/>
      </c>
      <c r="X15" s="2">
        <f>IF(F15="",PenMissing,1)*IF(G15="",PenMissing,1)*IF(I15="",PenMissing,1)*IF(J15="",PenMissing,1)</f>
        <v/>
      </c>
      <c r="Y15" s="2">
        <f>IFERROR(IF(W15="","",100*(W15-MIN($W$2:$W$127))/(MAX($W$2:$W$127)-MIN($W$2:$W$127))),"")</f>
        <v/>
      </c>
      <c r="Z15" s="2">
        <f>IF(Y15="","",ROUND(Y15*X15,1))</f>
        <v/>
      </c>
      <c r="AA15" t="inlineStr"/>
    </row>
    <row r="16">
      <c r="A16" s="2">
        <f>IF(Z16="","",RANK(Z16,$Z$2:$Z$127))</f>
        <v/>
      </c>
      <c r="B16" t="inlineStr">
        <is>
          <t>Alya</t>
        </is>
      </c>
      <c r="C16" t="inlineStr">
        <is>
          <t>Luxury</t>
        </is>
      </c>
      <c r="D16" s="3" t="n">
        <v>16</v>
      </c>
      <c r="E16" s="3" t="n">
        <v>9</v>
      </c>
      <c r="F16" s="3" t="n">
        <v>32</v>
      </c>
      <c r="G16" s="3" t="n">
        <v>13</v>
      </c>
      <c r="H16" s="3" t="n"/>
      <c r="I16" s="3" t="n">
        <v>10</v>
      </c>
      <c r="J16" s="3" t="n">
        <v>4600</v>
      </c>
      <c r="K16" s="3" t="n">
        <v>5</v>
      </c>
      <c r="L16" t="n">
        <v>64</v>
      </c>
      <c r="M16" s="2">
        <f>IF(OR(F16="",G16="",D16=""),"",ROUND(F16*G16/D16,1))</f>
        <v/>
      </c>
      <c r="N16" s="2">
        <f>IF(OR(H16="",D16=""),"",ROUND(H16/D16,1))</f>
        <v/>
      </c>
      <c r="O16" s="2">
        <f>IFERROR(IF(M16="","",(M16-MIN($M$2:$M$127))/(MAX($M$2:$M$127)-MIN($M$2:$M$127))),"")</f>
        <v/>
      </c>
      <c r="P16" s="2">
        <f>IFERROR(IF(N16="","",(N16-MIN($N$2:$N$127))/(MAX($N$2:$N$127)-MIN($N$2:$N$127))),"")</f>
        <v/>
      </c>
      <c r="Q16" s="2">
        <f>IF(O16="","",IF(P16="",O16,(O16+P16)/2))</f>
        <v/>
      </c>
      <c r="R16" s="2">
        <f>IF(OR(I16="",D16=""),"",I16/D16)</f>
        <v/>
      </c>
      <c r="S16" s="2">
        <f>IFERROR(IF(R16="","",(R16-MIN($R$2:$R$127))/(MAX($R$2:$R$127)-MIN($R$2:$R$127))),"")</f>
        <v/>
      </c>
      <c r="T16" s="2">
        <f>IFERROR(IF(K16="","",(K16-MIN($K$2:$K$127))/(MAX($K$2:$K$127)-MIN($K$2:$K$127))),"")</f>
        <v/>
      </c>
      <c r="U16" s="2">
        <f>IFERROR(IF(L16="","",(L16-MIN($L$2:$L$127))/(MAX($L$2:$L$127)-MIN($L$2:$L$127))),"")</f>
        <v/>
      </c>
      <c r="V16" s="2">
        <f>IF(Q16="","",W_space*Q16+W_service*IF(S16="",0,S16)+W_cat*IF(T16="",0,T16)+W_itin*IF(U16="",0,U16))</f>
        <v/>
      </c>
      <c r="W16" s="2">
        <f>IF(OR(V16="",J16=""),"",V16/(J16/1000))</f>
        <v/>
      </c>
      <c r="X16" s="2">
        <f>IF(F16="",PenMissing,1)*IF(G16="",PenMissing,1)*IF(I16="",PenMissing,1)*IF(J16="",PenMissing,1)</f>
        <v/>
      </c>
      <c r="Y16" s="2">
        <f>IFERROR(IF(W16="","",100*(W16-MIN($W$2:$W$127))/(MAX($W$2:$W$127)-MIN($W$2:$W$127))),"")</f>
        <v/>
      </c>
      <c r="Z16" s="2">
        <f>IF(Y16="","",ROUND(Y16*X16,1))</f>
        <v/>
      </c>
      <c r="AA16" t="inlineStr"/>
    </row>
    <row r="17">
      <c r="A17" s="2">
        <f>IF(Z17="","",RANK(Z17,$Z$2:$Z$127))</f>
        <v/>
      </c>
      <c r="B17" t="inlineStr">
        <is>
          <t>Natural Paradise</t>
        </is>
      </c>
      <c r="C17" t="inlineStr">
        <is>
          <t>Luxury</t>
        </is>
      </c>
      <c r="D17" s="3" t="n">
        <v>16</v>
      </c>
      <c r="E17" s="3" t="n">
        <v>9</v>
      </c>
      <c r="F17" s="3" t="n">
        <v>34</v>
      </c>
      <c r="G17" s="3" t="n">
        <v>8</v>
      </c>
      <c r="H17" s="3" t="n"/>
      <c r="I17" s="3" t="n">
        <v>10</v>
      </c>
      <c r="J17" s="3" t="n">
        <v>3245</v>
      </c>
      <c r="K17" s="3" t="n">
        <v>5</v>
      </c>
      <c r="L17" t="n">
        <v>61.6</v>
      </c>
      <c r="M17" s="2">
        <f>IF(OR(F17="",G17="",D17=""),"",ROUND(F17*G17/D17,1))</f>
        <v/>
      </c>
      <c r="N17" s="2">
        <f>IF(OR(H17="",D17=""),"",ROUND(H17/D17,1))</f>
        <v/>
      </c>
      <c r="O17" s="2">
        <f>IFERROR(IF(M17="","",(M17-MIN($M$2:$M$127))/(MAX($M$2:$M$127)-MIN($M$2:$M$127))),"")</f>
        <v/>
      </c>
      <c r="P17" s="2">
        <f>IFERROR(IF(N17="","",(N17-MIN($N$2:$N$127))/(MAX($N$2:$N$127)-MIN($N$2:$N$127))),"")</f>
        <v/>
      </c>
      <c r="Q17" s="2">
        <f>IF(O17="","",IF(P17="",O17,(O17+P17)/2))</f>
        <v/>
      </c>
      <c r="R17" s="2">
        <f>IF(OR(I17="",D17=""),"",I17/D17)</f>
        <v/>
      </c>
      <c r="S17" s="2">
        <f>IFERROR(IF(R17="","",(R17-MIN($R$2:$R$127))/(MAX($R$2:$R$127)-MIN($R$2:$R$127))),"")</f>
        <v/>
      </c>
      <c r="T17" s="2">
        <f>IFERROR(IF(K17="","",(K17-MIN($K$2:$K$127))/(MAX($K$2:$K$127)-MIN($K$2:$K$127))),"")</f>
        <v/>
      </c>
      <c r="U17" s="2">
        <f>IFERROR(IF(L17="","",(L17-MIN($L$2:$L$127))/(MAX($L$2:$L$127)-MIN($L$2:$L$127))),"")</f>
        <v/>
      </c>
      <c r="V17" s="2">
        <f>IF(Q17="","",W_space*Q17+W_service*IF(S17="",0,S17)+W_cat*IF(T17="",0,T17)+W_itin*IF(U17="",0,U17))</f>
        <v/>
      </c>
      <c r="W17" s="2">
        <f>IF(OR(V17="",J17=""),"",V17/(J17/1000))</f>
        <v/>
      </c>
      <c r="X17" s="2">
        <f>IF(F17="",PenMissing,1)*IF(G17="",PenMissing,1)*IF(I17="",PenMissing,1)*IF(J17="",PenMissing,1)</f>
        <v/>
      </c>
      <c r="Y17" s="2">
        <f>IFERROR(IF(W17="","",100*(W17-MIN($W$2:$W$127))/(MAX($W$2:$W$127)-MIN($W$2:$W$127))),"")</f>
        <v/>
      </c>
      <c r="Z17" s="2">
        <f>IF(Y17="","",ROUND(Y17*X17,1))</f>
        <v/>
      </c>
      <c r="AA17" t="inlineStr"/>
    </row>
    <row r="18">
      <c r="A18" s="2">
        <f>IF(Z18="","",RANK(Z18,$Z$2:$Z$127))</f>
        <v/>
      </c>
      <c r="B18" t="inlineStr">
        <is>
          <t>Tip Top Iv</t>
        </is>
      </c>
      <c r="C18" t="inlineStr">
        <is>
          <t>Premium</t>
        </is>
      </c>
      <c r="D18" s="3" t="n">
        <v>16</v>
      </c>
      <c r="E18" s="3" t="n">
        <v>10</v>
      </c>
      <c r="F18" s="3" t="n">
        <v>38.1</v>
      </c>
      <c r="G18" s="3" t="n">
        <v>6</v>
      </c>
      <c r="H18" s="3" t="n"/>
      <c r="I18" s="3" t="n">
        <v>9</v>
      </c>
      <c r="J18" s="3" t="n">
        <v>2750</v>
      </c>
      <c r="K18" s="3" t="n">
        <v>4</v>
      </c>
      <c r="L18" t="n">
        <v>64.7</v>
      </c>
      <c r="M18" s="2">
        <f>IF(OR(F18="",G18="",D18=""),"",ROUND(F18*G18/D18,1))</f>
        <v/>
      </c>
      <c r="N18" s="2">
        <f>IF(OR(H18="",D18=""),"",ROUND(H18/D18,1))</f>
        <v/>
      </c>
      <c r="O18" s="2">
        <f>IFERROR(IF(M18="","",(M18-MIN($M$2:$M$127))/(MAX($M$2:$M$127)-MIN($M$2:$M$127))),"")</f>
        <v/>
      </c>
      <c r="P18" s="2">
        <f>IFERROR(IF(N18="","",(N18-MIN($N$2:$N$127))/(MAX($N$2:$N$127)-MIN($N$2:$N$127))),"")</f>
        <v/>
      </c>
      <c r="Q18" s="2">
        <f>IF(O18="","",IF(P18="",O18,(O18+P18)/2))</f>
        <v/>
      </c>
      <c r="R18" s="2">
        <f>IF(OR(I18="",D18=""),"",I18/D18)</f>
        <v/>
      </c>
      <c r="S18" s="2">
        <f>IFERROR(IF(R18="","",(R18-MIN($R$2:$R$127))/(MAX($R$2:$R$127)-MIN($R$2:$R$127))),"")</f>
        <v/>
      </c>
      <c r="T18" s="2">
        <f>IFERROR(IF(K18="","",(K18-MIN($K$2:$K$127))/(MAX($K$2:$K$127)-MIN($K$2:$K$127))),"")</f>
        <v/>
      </c>
      <c r="U18" s="2">
        <f>IFERROR(IF(L18="","",(L18-MIN($L$2:$L$127))/(MAX($L$2:$L$127)-MIN($L$2:$L$127))),"")</f>
        <v/>
      </c>
      <c r="V18" s="2">
        <f>IF(Q18="","",W_space*Q18+W_service*IF(S18="",0,S18)+W_cat*IF(T18="",0,T18)+W_itin*IF(U18="",0,U18))</f>
        <v/>
      </c>
      <c r="W18" s="2">
        <f>IF(OR(V18="",J18=""),"",V18/(J18/1000))</f>
        <v/>
      </c>
      <c r="X18" s="2">
        <f>IF(F18="",PenMissing,1)*IF(G18="",PenMissing,1)*IF(I18="",PenMissing,1)*IF(J18="",PenMissing,1)</f>
        <v/>
      </c>
      <c r="Y18" s="2">
        <f>IFERROR(IF(W18="","",100*(W18-MIN($W$2:$W$127))/(MAX($W$2:$W$127)-MIN($W$2:$W$127))),"")</f>
        <v/>
      </c>
      <c r="Z18" s="2">
        <f>IF(Y18="","",ROUND(Y18*X18,1))</f>
        <v/>
      </c>
      <c r="AA18" t="inlineStr"/>
    </row>
    <row r="19">
      <c r="A19" s="2">
        <f>IF(Z19="","",RANK(Z19,$Z$2:$Z$127))</f>
        <v/>
      </c>
      <c r="B19" t="inlineStr">
        <is>
          <t>Koln</t>
        </is>
      </c>
      <c r="D19" s="3" t="n">
        <v>16</v>
      </c>
      <c r="E19" s="3" t="n">
        <v>10</v>
      </c>
      <c r="F19" s="3" t="n">
        <v>31</v>
      </c>
      <c r="G19" s="3" t="n">
        <v>7</v>
      </c>
      <c r="H19" s="3" t="n"/>
      <c r="I19" s="3" t="n">
        <v>4</v>
      </c>
      <c r="J19" s="3" t="n">
        <v>2638</v>
      </c>
      <c r="K19" s="3" t="n">
        <v>3</v>
      </c>
      <c r="M19" s="2">
        <f>IF(OR(F19="",G19="",D19=""),"",ROUND(F19*G19/D19,1))</f>
        <v/>
      </c>
      <c r="N19" s="2">
        <f>IF(OR(H19="",D19=""),"",ROUND(H19/D19,1))</f>
        <v/>
      </c>
      <c r="O19" s="2">
        <f>IFERROR(IF(M19="","",(M19-MIN($M$2:$M$127))/(MAX($M$2:$M$127)-MIN($M$2:$M$127))),"")</f>
        <v/>
      </c>
      <c r="P19" s="2">
        <f>IFERROR(IF(N19="","",(N19-MIN($N$2:$N$127))/(MAX($N$2:$N$127)-MIN($N$2:$N$127))),"")</f>
        <v/>
      </c>
      <c r="Q19" s="2">
        <f>IF(O19="","",IF(P19="",O19,(O19+P19)/2))</f>
        <v/>
      </c>
      <c r="R19" s="2">
        <f>IF(OR(I19="",D19=""),"",I19/D19)</f>
        <v/>
      </c>
      <c r="S19" s="2">
        <f>IFERROR(IF(R19="","",(R19-MIN($R$2:$R$127))/(MAX($R$2:$R$127)-MIN($R$2:$R$127))),"")</f>
        <v/>
      </c>
      <c r="T19" s="2">
        <f>IFERROR(IF(K19="","",(K19-MIN($K$2:$K$127))/(MAX($K$2:$K$127)-MIN($K$2:$K$127))),"")</f>
        <v/>
      </c>
      <c r="U19" s="2">
        <f>IFERROR(IF(L19="","",(L19-MIN($L$2:$L$127))/(MAX($L$2:$L$127)-MIN($L$2:$L$127))),"")</f>
        <v/>
      </c>
      <c r="V19" s="2">
        <f>IF(Q19="","",W_space*Q19+W_service*IF(S19="",0,S19)+W_cat*IF(T19="",0,T19)+W_itin*IF(U19="",0,U19))</f>
        <v/>
      </c>
      <c r="W19" s="2">
        <f>IF(OR(V19="",J19=""),"",V19/(J19/1000))</f>
        <v/>
      </c>
      <c r="X19" s="2">
        <f>IF(F19="",PenMissing,1)*IF(G19="",PenMissing,1)*IF(I19="",PenMissing,1)*IF(J19="",PenMissing,1)</f>
        <v/>
      </c>
      <c r="Y19" s="2">
        <f>IFERROR(IF(W19="","",100*(W19-MIN($W$2:$W$127))/(MAX($W$2:$W$127)-MIN($W$2:$W$127))),"")</f>
        <v/>
      </c>
      <c r="Z19" s="2">
        <f>IF(Y19="","",ROUND(Y19*X19,1))</f>
        <v/>
      </c>
      <c r="AA19" t="inlineStr"/>
    </row>
    <row r="20">
      <c r="A20" s="2">
        <f>IF(Z20="","",RANK(Z20,$Z$2:$Z$127))</f>
        <v/>
      </c>
      <c r="B20" t="inlineStr">
        <is>
          <t>Seaman Journey</t>
        </is>
      </c>
      <c r="C20" t="inlineStr">
        <is>
          <t>Premium</t>
        </is>
      </c>
      <c r="D20" s="3" t="n">
        <v>16</v>
      </c>
      <c r="E20" s="3" t="n">
        <v>8</v>
      </c>
      <c r="F20" s="3" t="n">
        <v>27</v>
      </c>
      <c r="G20" s="3" t="n">
        <v>11</v>
      </c>
      <c r="H20" s="3" t="n"/>
      <c r="I20" s="3" t="n">
        <v>9</v>
      </c>
      <c r="J20" s="3" t="n">
        <v>3692</v>
      </c>
      <c r="K20" s="3" t="n">
        <v>4</v>
      </c>
      <c r="L20" t="n">
        <v>61.9</v>
      </c>
      <c r="M20" s="2">
        <f>IF(OR(F20="",G20="",D20=""),"",ROUND(F20*G20/D20,1))</f>
        <v/>
      </c>
      <c r="N20" s="2">
        <f>IF(OR(H20="",D20=""),"",ROUND(H20/D20,1))</f>
        <v/>
      </c>
      <c r="O20" s="2">
        <f>IFERROR(IF(M20="","",(M20-MIN($M$2:$M$127))/(MAX($M$2:$M$127)-MIN($M$2:$M$127))),"")</f>
        <v/>
      </c>
      <c r="P20" s="2">
        <f>IFERROR(IF(N20="","",(N20-MIN($N$2:$N$127))/(MAX($N$2:$N$127)-MIN($N$2:$N$127))),"")</f>
        <v/>
      </c>
      <c r="Q20" s="2">
        <f>IF(O20="","",IF(P20="",O20,(O20+P20)/2))</f>
        <v/>
      </c>
      <c r="R20" s="2">
        <f>IF(OR(I20="",D20=""),"",I20/D20)</f>
        <v/>
      </c>
      <c r="S20" s="2">
        <f>IFERROR(IF(R20="","",(R20-MIN($R$2:$R$127))/(MAX($R$2:$R$127)-MIN($R$2:$R$127))),"")</f>
        <v/>
      </c>
      <c r="T20" s="2">
        <f>IFERROR(IF(K20="","",(K20-MIN($K$2:$K$127))/(MAX($K$2:$K$127)-MIN($K$2:$K$127))),"")</f>
        <v/>
      </c>
      <c r="U20" s="2">
        <f>IFERROR(IF(L20="","",(L20-MIN($L$2:$L$127))/(MAX($L$2:$L$127)-MIN($L$2:$L$127))),"")</f>
        <v/>
      </c>
      <c r="V20" s="2">
        <f>IF(Q20="","",W_space*Q20+W_service*IF(S20="",0,S20)+W_cat*IF(T20="",0,T20)+W_itin*IF(U20="",0,U20))</f>
        <v/>
      </c>
      <c r="W20" s="2">
        <f>IF(OR(V20="",J20=""),"",V20/(J20/1000))</f>
        <v/>
      </c>
      <c r="X20" s="2">
        <f>IF(F20="",PenMissing,1)*IF(G20="",PenMissing,1)*IF(I20="",PenMissing,1)*IF(J20="",PenMissing,1)</f>
        <v/>
      </c>
      <c r="Y20" s="2">
        <f>IFERROR(IF(W20="","",100*(W20-MIN($W$2:$W$127))/(MAX($W$2:$W$127)-MIN($W$2:$W$127))),"")</f>
        <v/>
      </c>
      <c r="Z20" s="2">
        <f>IF(Y20="","",ROUND(Y20*X20,1))</f>
        <v/>
      </c>
      <c r="AA20" t="inlineStr"/>
    </row>
    <row r="21">
      <c r="A21" s="2">
        <f>IF(Z21="","",RANK(Z21,$Z$2:$Z$127))</f>
        <v/>
      </c>
      <c r="B21" t="inlineStr">
        <is>
          <t>Aida Maria</t>
        </is>
      </c>
      <c r="C21" t="inlineStr">
        <is>
          <t>Budget</t>
        </is>
      </c>
      <c r="D21" s="3" t="n">
        <v>16</v>
      </c>
      <c r="E21" s="3" t="n">
        <v>8</v>
      </c>
      <c r="F21" s="3" t="n">
        <v>21.3</v>
      </c>
      <c r="G21" s="3" t="n">
        <v>7</v>
      </c>
      <c r="H21" s="3" t="n"/>
      <c r="I21" s="3" t="n">
        <v>6</v>
      </c>
      <c r="J21" s="3" t="n">
        <v>1875</v>
      </c>
      <c r="K21" s="3" t="n">
        <v>3</v>
      </c>
      <c r="L21" t="n">
        <v>62.4</v>
      </c>
      <c r="M21" s="2">
        <f>IF(OR(F21="",G21="",D21=""),"",ROUND(F21*G21/D21,1))</f>
        <v/>
      </c>
      <c r="N21" s="2">
        <f>IF(OR(H21="",D21=""),"",ROUND(H21/D21,1))</f>
        <v/>
      </c>
      <c r="O21" s="2">
        <f>IFERROR(IF(M21="","",(M21-MIN($M$2:$M$127))/(MAX($M$2:$M$127)-MIN($M$2:$M$127))),"")</f>
        <v/>
      </c>
      <c r="P21" s="2">
        <f>IFERROR(IF(N21="","",(N21-MIN($N$2:$N$127))/(MAX($N$2:$N$127)-MIN($N$2:$N$127))),"")</f>
        <v/>
      </c>
      <c r="Q21" s="2">
        <f>IF(O21="","",IF(P21="",O21,(O21+P21)/2))</f>
        <v/>
      </c>
      <c r="R21" s="2">
        <f>IF(OR(I21="",D21=""),"",I21/D21)</f>
        <v/>
      </c>
      <c r="S21" s="2">
        <f>IFERROR(IF(R21="","",(R21-MIN($R$2:$R$127))/(MAX($R$2:$R$127)-MIN($R$2:$R$127))),"")</f>
        <v/>
      </c>
      <c r="T21" s="2">
        <f>IFERROR(IF(K21="","",(K21-MIN($K$2:$K$127))/(MAX($K$2:$K$127)-MIN($K$2:$K$127))),"")</f>
        <v/>
      </c>
      <c r="U21" s="2">
        <f>IFERROR(IF(L21="","",(L21-MIN($L$2:$L$127))/(MAX($L$2:$L$127)-MIN($L$2:$L$127))),"")</f>
        <v/>
      </c>
      <c r="V21" s="2">
        <f>IF(Q21="","",W_space*Q21+W_service*IF(S21="",0,S21)+W_cat*IF(T21="",0,T21)+W_itin*IF(U21="",0,U21))</f>
        <v/>
      </c>
      <c r="W21" s="2">
        <f>IF(OR(V21="",J21=""),"",V21/(J21/1000))</f>
        <v/>
      </c>
      <c r="X21" s="2">
        <f>IF(F21="",PenMissing,1)*IF(G21="",PenMissing,1)*IF(I21="",PenMissing,1)*IF(J21="",PenMissing,1)</f>
        <v/>
      </c>
      <c r="Y21" s="2">
        <f>IFERROR(IF(W21="","",100*(W21-MIN($W$2:$W$127))/(MAX($W$2:$W$127)-MIN($W$2:$W$127))),"")</f>
        <v/>
      </c>
      <c r="Z21" s="2">
        <f>IF(Y21="","",ROUND(Y21*X21,1))</f>
        <v/>
      </c>
      <c r="AA21" t="inlineStr"/>
    </row>
    <row r="22">
      <c r="A22" s="2">
        <f>IF(Z22="","",RANK(Z22,$Z$2:$Z$127))</f>
        <v/>
      </c>
      <c r="B22" t="inlineStr">
        <is>
          <t>Coral I&amp;ii</t>
        </is>
      </c>
      <c r="D22" s="3" t="n">
        <v>36</v>
      </c>
      <c r="E22" s="3" t="n">
        <v>18</v>
      </c>
      <c r="F22" s="3" t="n">
        <v>40</v>
      </c>
      <c r="G22" s="3" t="n">
        <v>9</v>
      </c>
      <c r="H22" s="3" t="n"/>
      <c r="I22" s="3" t="n">
        <v>12</v>
      </c>
      <c r="J22" s="3" t="n">
        <v>2019</v>
      </c>
      <c r="K22" s="3" t="n">
        <v>4</v>
      </c>
      <c r="M22" s="2">
        <f>IF(OR(F22="",G22="",D22=""),"",ROUND(F22*G22/D22,1))</f>
        <v/>
      </c>
      <c r="N22" s="2">
        <f>IF(OR(H22="",D22=""),"",ROUND(H22/D22,1))</f>
        <v/>
      </c>
      <c r="O22" s="2">
        <f>IFERROR(IF(M22="","",(M22-MIN($M$2:$M$127))/(MAX($M$2:$M$127)-MIN($M$2:$M$127))),"")</f>
        <v/>
      </c>
      <c r="P22" s="2">
        <f>IFERROR(IF(N22="","",(N22-MIN($N$2:$N$127))/(MAX($N$2:$N$127)-MIN($N$2:$N$127))),"")</f>
        <v/>
      </c>
      <c r="Q22" s="2">
        <f>IF(O22="","",IF(P22="",O22,(O22+P22)/2))</f>
        <v/>
      </c>
      <c r="R22" s="2">
        <f>IF(OR(I22="",D22=""),"",I22/D22)</f>
        <v/>
      </c>
      <c r="S22" s="2">
        <f>IFERROR(IF(R22="","",(R22-MIN($R$2:$R$127))/(MAX($R$2:$R$127)-MIN($R$2:$R$127))),"")</f>
        <v/>
      </c>
      <c r="T22" s="2">
        <f>IFERROR(IF(K22="","",(K22-MIN($K$2:$K$127))/(MAX($K$2:$K$127)-MIN($K$2:$K$127))),"")</f>
        <v/>
      </c>
      <c r="U22" s="2">
        <f>IFERROR(IF(L22="","",(L22-MIN($L$2:$L$127))/(MAX($L$2:$L$127)-MIN($L$2:$L$127))),"")</f>
        <v/>
      </c>
      <c r="V22" s="2">
        <f>IF(Q22="","",W_space*Q22+W_service*IF(S22="",0,S22)+W_cat*IF(T22="",0,T22)+W_itin*IF(U22="",0,U22))</f>
        <v/>
      </c>
      <c r="W22" s="2">
        <f>IF(OR(V22="",J22=""),"",V22/(J22/1000))</f>
        <v/>
      </c>
      <c r="X22" s="2">
        <f>IF(F22="",PenMissing,1)*IF(G22="",PenMissing,1)*IF(I22="",PenMissing,1)*IF(J22="",PenMissing,1)</f>
        <v/>
      </c>
      <c r="Y22" s="2">
        <f>IFERROR(IF(W22="","",100*(W22-MIN($W$2:$W$127))/(MAX($W$2:$W$127)-MIN($W$2:$W$127))),"")</f>
        <v/>
      </c>
      <c r="Z22" s="2">
        <f>IF(Y22="","",ROUND(Y22*X22,1))</f>
        <v/>
      </c>
      <c r="AA22" t="inlineStr"/>
    </row>
    <row r="23">
      <c r="A23" s="2">
        <f>IF(Z23="","",RANK(Z23,$Z$2:$Z$127))</f>
        <v/>
      </c>
      <c r="B23" t="inlineStr">
        <is>
          <t>Solaris</t>
        </is>
      </c>
      <c r="C23" t="inlineStr">
        <is>
          <t>Premium</t>
        </is>
      </c>
      <c r="D23" s="3" t="n">
        <v>16</v>
      </c>
      <c r="E23" s="3" t="n">
        <v>11</v>
      </c>
      <c r="F23" s="3" t="n">
        <v>36</v>
      </c>
      <c r="G23" s="3" t="n">
        <v>9</v>
      </c>
      <c r="H23" s="3" t="n"/>
      <c r="I23" s="3" t="n">
        <v>8</v>
      </c>
      <c r="J23" s="3" t="n">
        <v>4150</v>
      </c>
      <c r="K23" s="3" t="n">
        <v>3</v>
      </c>
      <c r="L23" t="n">
        <v>64.5</v>
      </c>
      <c r="M23" s="2">
        <f>IF(OR(F23="",G23="",D23=""),"",ROUND(F23*G23/D23,1))</f>
        <v/>
      </c>
      <c r="N23" s="2">
        <f>IF(OR(H23="",D23=""),"",ROUND(H23/D23,1))</f>
        <v/>
      </c>
      <c r="O23" s="2">
        <f>IFERROR(IF(M23="","",(M23-MIN($M$2:$M$127))/(MAX($M$2:$M$127)-MIN($M$2:$M$127))),"")</f>
        <v/>
      </c>
      <c r="P23" s="2">
        <f>IFERROR(IF(N23="","",(N23-MIN($N$2:$N$127))/(MAX($N$2:$N$127)-MIN($N$2:$N$127))),"")</f>
        <v/>
      </c>
      <c r="Q23" s="2">
        <f>IF(O23="","",IF(P23="",O23,(O23+P23)/2))</f>
        <v/>
      </c>
      <c r="R23" s="2">
        <f>IF(OR(I23="",D23=""),"",I23/D23)</f>
        <v/>
      </c>
      <c r="S23" s="2">
        <f>IFERROR(IF(R23="","",(R23-MIN($R$2:$R$127))/(MAX($R$2:$R$127)-MIN($R$2:$R$127))),"")</f>
        <v/>
      </c>
      <c r="T23" s="2">
        <f>IFERROR(IF(K23="","",(K23-MIN($K$2:$K$127))/(MAX($K$2:$K$127)-MIN($K$2:$K$127))),"")</f>
        <v/>
      </c>
      <c r="U23" s="2">
        <f>IFERROR(IF(L23="","",(L23-MIN($L$2:$L$127))/(MAX($L$2:$L$127)-MIN($L$2:$L$127))),"")</f>
        <v/>
      </c>
      <c r="V23" s="2">
        <f>IF(Q23="","",W_space*Q23+W_service*IF(S23="",0,S23)+W_cat*IF(T23="",0,T23)+W_itin*IF(U23="",0,U23))</f>
        <v/>
      </c>
      <c r="W23" s="2">
        <f>IF(OR(V23="",J23=""),"",V23/(J23/1000))</f>
        <v/>
      </c>
      <c r="X23" s="2">
        <f>IF(F23="",PenMissing,1)*IF(G23="",PenMissing,1)*IF(I23="",PenMissing,1)*IF(J23="",PenMissing,1)</f>
        <v/>
      </c>
      <c r="Y23" s="2">
        <f>IFERROR(IF(W23="","",100*(W23-MIN($W$2:$W$127))/(MAX($W$2:$W$127)-MIN($W$2:$W$127))),"")</f>
        <v/>
      </c>
      <c r="Z23" s="2">
        <f>IF(Y23="","",ROUND(Y23*X23,1))</f>
        <v/>
      </c>
      <c r="AA23" t="inlineStr">
        <is>
          <t>no_engine_data</t>
        </is>
      </c>
    </row>
    <row r="24">
      <c r="A24" s="2">
        <f>IF(Z24="","",RANK(Z24,$Z$2:$Z$127))</f>
        <v/>
      </c>
      <c r="B24" t="inlineStr">
        <is>
          <t>Galapagos Sea Star</t>
        </is>
      </c>
      <c r="C24" t="inlineStr">
        <is>
          <t>Luxury</t>
        </is>
      </c>
      <c r="D24" s="3" t="n">
        <v>16</v>
      </c>
      <c r="E24" s="3" t="n">
        <v>8</v>
      </c>
      <c r="F24" s="3" t="n">
        <v>42</v>
      </c>
      <c r="G24" s="3" t="n">
        <v>9</v>
      </c>
      <c r="H24" s="3" t="n"/>
      <c r="I24" s="3" t="n">
        <v>11</v>
      </c>
      <c r="J24" s="3" t="n">
        <v>4845</v>
      </c>
      <c r="K24" s="3" t="n">
        <v>5</v>
      </c>
      <c r="L24" t="n">
        <v>61.7</v>
      </c>
      <c r="M24" s="2">
        <f>IF(OR(F24="",G24="",D24=""),"",ROUND(F24*G24/D24,1))</f>
        <v/>
      </c>
      <c r="N24" s="2">
        <f>IF(OR(H24="",D24=""),"",ROUND(H24/D24,1))</f>
        <v/>
      </c>
      <c r="O24" s="2">
        <f>IFERROR(IF(M24="","",(M24-MIN($M$2:$M$127))/(MAX($M$2:$M$127)-MIN($M$2:$M$127))),"")</f>
        <v/>
      </c>
      <c r="P24" s="2">
        <f>IFERROR(IF(N24="","",(N24-MIN($N$2:$N$127))/(MAX($N$2:$N$127)-MIN($N$2:$N$127))),"")</f>
        <v/>
      </c>
      <c r="Q24" s="2">
        <f>IF(O24="","",IF(P24="",O24,(O24+P24)/2))</f>
        <v/>
      </c>
      <c r="R24" s="2">
        <f>IF(OR(I24="",D24=""),"",I24/D24)</f>
        <v/>
      </c>
      <c r="S24" s="2">
        <f>IFERROR(IF(R24="","",(R24-MIN($R$2:$R$127))/(MAX($R$2:$R$127)-MIN($R$2:$R$127))),"")</f>
        <v/>
      </c>
      <c r="T24" s="2">
        <f>IFERROR(IF(K24="","",(K24-MIN($K$2:$K$127))/(MAX($K$2:$K$127)-MIN($K$2:$K$127))),"")</f>
        <v/>
      </c>
      <c r="U24" s="2">
        <f>IFERROR(IF(L24="","",(L24-MIN($L$2:$L$127))/(MAX($L$2:$L$127)-MIN($L$2:$L$127))),"")</f>
        <v/>
      </c>
      <c r="V24" s="2">
        <f>IF(Q24="","",W_space*Q24+W_service*IF(S24="",0,S24)+W_cat*IF(T24="",0,T24)+W_itin*IF(U24="",0,U24))</f>
        <v/>
      </c>
      <c r="W24" s="2">
        <f>IF(OR(V24="",J24=""),"",V24/(J24/1000))</f>
        <v/>
      </c>
      <c r="X24" s="2">
        <f>IF(F24="",PenMissing,1)*IF(G24="",PenMissing,1)*IF(I24="",PenMissing,1)*IF(J24="",PenMissing,1)</f>
        <v/>
      </c>
      <c r="Y24" s="2">
        <f>IFERROR(IF(W24="","",100*(W24-MIN($W$2:$W$127))/(MAX($W$2:$W$127)-MIN($W$2:$W$127))),"")</f>
        <v/>
      </c>
      <c r="Z24" s="2">
        <f>IF(Y24="","",ROUND(Y24*X24,1))</f>
        <v/>
      </c>
      <c r="AA24" t="inlineStr"/>
    </row>
    <row r="25">
      <c r="A25" s="2">
        <f>IF(Z25="","",RANK(Z25,$Z$2:$Z$127))</f>
        <v/>
      </c>
      <c r="B25" t="inlineStr">
        <is>
          <t>Monserrat</t>
        </is>
      </c>
      <c r="C25" t="inlineStr">
        <is>
          <t>Classic</t>
        </is>
      </c>
      <c r="D25" s="3" t="n">
        <v>16</v>
      </c>
      <c r="E25" s="3" t="n">
        <v>10</v>
      </c>
      <c r="F25" s="3" t="n">
        <v>28</v>
      </c>
      <c r="G25" s="3" t="n">
        <v>7</v>
      </c>
      <c r="H25" s="3" t="n"/>
      <c r="I25" s="3" t="n">
        <v>12</v>
      </c>
      <c r="J25" s="3" t="n">
        <v>2595</v>
      </c>
      <c r="K25" s="3" t="n">
        <v>4</v>
      </c>
      <c r="L25" t="n">
        <v>59.1</v>
      </c>
      <c r="M25" s="2">
        <f>IF(OR(F25="",G25="",D25=""),"",ROUND(F25*G25/D25,1))</f>
        <v/>
      </c>
      <c r="N25" s="2">
        <f>IF(OR(H25="",D25=""),"",ROUND(H25/D25,1))</f>
        <v/>
      </c>
      <c r="O25" s="2">
        <f>IFERROR(IF(M25="","",(M25-MIN($M$2:$M$127))/(MAX($M$2:$M$127)-MIN($M$2:$M$127))),"")</f>
        <v/>
      </c>
      <c r="P25" s="2">
        <f>IFERROR(IF(N25="","",(N25-MIN($N$2:$N$127))/(MAX($N$2:$N$127)-MIN($N$2:$N$127))),"")</f>
        <v/>
      </c>
      <c r="Q25" s="2">
        <f>IF(O25="","",IF(P25="",O25,(O25+P25)/2))</f>
        <v/>
      </c>
      <c r="R25" s="2">
        <f>IF(OR(I25="",D25=""),"",I25/D25)</f>
        <v/>
      </c>
      <c r="S25" s="2">
        <f>IFERROR(IF(R25="","",(R25-MIN($R$2:$R$127))/(MAX($R$2:$R$127)-MIN($R$2:$R$127))),"")</f>
        <v/>
      </c>
      <c r="T25" s="2">
        <f>IFERROR(IF(K25="","",(K25-MIN($K$2:$K$127))/(MAX($K$2:$K$127)-MIN($K$2:$K$127))),"")</f>
        <v/>
      </c>
      <c r="U25" s="2">
        <f>IFERROR(IF(L25="","",(L25-MIN($L$2:$L$127))/(MAX($L$2:$L$127)-MIN($L$2:$L$127))),"")</f>
        <v/>
      </c>
      <c r="V25" s="2">
        <f>IF(Q25="","",W_space*Q25+W_service*IF(S25="",0,S25)+W_cat*IF(T25="",0,T25)+W_itin*IF(U25="",0,U25))</f>
        <v/>
      </c>
      <c r="W25" s="2">
        <f>IF(OR(V25="",J25=""),"",V25/(J25/1000))</f>
        <v/>
      </c>
      <c r="X25" s="2">
        <f>IF(F25="",PenMissing,1)*IF(G25="",PenMissing,1)*IF(I25="",PenMissing,1)*IF(J25="",PenMissing,1)</f>
        <v/>
      </c>
      <c r="Y25" s="2">
        <f>IFERROR(IF(W25="","",100*(W25-MIN($W$2:$W$127))/(MAX($W$2:$W$127)-MIN($W$2:$W$127))),"")</f>
        <v/>
      </c>
      <c r="Z25" s="2">
        <f>IF(Y25="","",ROUND(Y25*X25,1))</f>
        <v/>
      </c>
      <c r="AA25" t="inlineStr"/>
    </row>
    <row r="26">
      <c r="A26" s="2">
        <f>IF(Z26="","",RANK(Z26,$Z$2:$Z$127))</f>
        <v/>
      </c>
      <c r="B26" t="inlineStr">
        <is>
          <t>Angelito</t>
        </is>
      </c>
      <c r="C26" t="inlineStr">
        <is>
          <t>Budget</t>
        </is>
      </c>
      <c r="D26" s="3" t="n">
        <v>16</v>
      </c>
      <c r="E26" s="3" t="n">
        <v>8</v>
      </c>
      <c r="F26" s="3" t="n">
        <v>21</v>
      </c>
      <c r="G26" s="3" t="n">
        <v>7</v>
      </c>
      <c r="H26" s="3" t="n"/>
      <c r="I26" s="3" t="n">
        <v>7</v>
      </c>
      <c r="J26" s="3" t="n">
        <v>2745</v>
      </c>
      <c r="K26" s="3" t="n">
        <v>3</v>
      </c>
      <c r="L26" t="n">
        <v>65.40000000000001</v>
      </c>
      <c r="M26" s="2">
        <f>IF(OR(F26="",G26="",D26=""),"",ROUND(F26*G26/D26,1))</f>
        <v/>
      </c>
      <c r="N26" s="2">
        <f>IF(OR(H26="",D26=""),"",ROUND(H26/D26,1))</f>
        <v/>
      </c>
      <c r="O26" s="2">
        <f>IFERROR(IF(M26="","",(M26-MIN($M$2:$M$127))/(MAX($M$2:$M$127)-MIN($M$2:$M$127))),"")</f>
        <v/>
      </c>
      <c r="P26" s="2">
        <f>IFERROR(IF(N26="","",(N26-MIN($N$2:$N$127))/(MAX($N$2:$N$127)-MIN($N$2:$N$127))),"")</f>
        <v/>
      </c>
      <c r="Q26" s="2">
        <f>IF(O26="","",IF(P26="",O26,(O26+P26)/2))</f>
        <v/>
      </c>
      <c r="R26" s="2">
        <f>IF(OR(I26="",D26=""),"",I26/D26)</f>
        <v/>
      </c>
      <c r="S26" s="2">
        <f>IFERROR(IF(R26="","",(R26-MIN($R$2:$R$127))/(MAX($R$2:$R$127)-MIN($R$2:$R$127))),"")</f>
        <v/>
      </c>
      <c r="T26" s="2">
        <f>IFERROR(IF(K26="","",(K26-MIN($K$2:$K$127))/(MAX($K$2:$K$127)-MIN($K$2:$K$127))),"")</f>
        <v/>
      </c>
      <c r="U26" s="2">
        <f>IFERROR(IF(L26="","",(L26-MIN($L$2:$L$127))/(MAX($L$2:$L$127)-MIN($L$2:$L$127))),"")</f>
        <v/>
      </c>
      <c r="V26" s="2">
        <f>IF(Q26="","",W_space*Q26+W_service*IF(S26="",0,S26)+W_cat*IF(T26="",0,T26)+W_itin*IF(U26="",0,U26))</f>
        <v/>
      </c>
      <c r="W26" s="2">
        <f>IF(OR(V26="",J26=""),"",V26/(J26/1000))</f>
        <v/>
      </c>
      <c r="X26" s="2">
        <f>IF(F26="",PenMissing,1)*IF(G26="",PenMissing,1)*IF(I26="",PenMissing,1)*IF(J26="",PenMissing,1)</f>
        <v/>
      </c>
      <c r="Y26" s="2">
        <f>IFERROR(IF(W26="","",100*(W26-MIN($W$2:$W$127))/(MAX($W$2:$W$127)-MIN($W$2:$W$127))),"")</f>
        <v/>
      </c>
      <c r="Z26" s="2">
        <f>IF(Y26="","",ROUND(Y26*X26,1))</f>
        <v/>
      </c>
      <c r="AA26" t="inlineStr"/>
    </row>
    <row r="27">
      <c r="A27" s="2">
        <f>IF(Z27="","",RANK(Z27,$Z$2:$Z$127))</f>
        <v/>
      </c>
      <c r="B27" t="inlineStr">
        <is>
          <t>Bonita</t>
        </is>
      </c>
      <c r="C27" t="inlineStr">
        <is>
          <t>Classic</t>
        </is>
      </c>
      <c r="D27" s="3" t="n">
        <v>16</v>
      </c>
      <c r="E27" s="3" t="n">
        <v>10</v>
      </c>
      <c r="F27" s="3" t="n">
        <v>25</v>
      </c>
      <c r="G27" s="3" t="n">
        <v>6</v>
      </c>
      <c r="H27" s="3" t="n"/>
      <c r="I27" s="3" t="n">
        <v>9</v>
      </c>
      <c r="J27" s="3" t="n">
        <v>2900</v>
      </c>
      <c r="K27" s="3" t="n">
        <v>3</v>
      </c>
      <c r="M27" s="2">
        <f>IF(OR(F27="",G27="",D27=""),"",ROUND(F27*G27/D27,1))</f>
        <v/>
      </c>
      <c r="N27" s="2">
        <f>IF(OR(H27="",D27=""),"",ROUND(H27/D27,1))</f>
        <v/>
      </c>
      <c r="O27" s="2">
        <f>IFERROR(IF(M27="","",(M27-MIN($M$2:$M$127))/(MAX($M$2:$M$127)-MIN($M$2:$M$127))),"")</f>
        <v/>
      </c>
      <c r="P27" s="2">
        <f>IFERROR(IF(N27="","",(N27-MIN($N$2:$N$127))/(MAX($N$2:$N$127)-MIN($N$2:$N$127))),"")</f>
        <v/>
      </c>
      <c r="Q27" s="2">
        <f>IF(O27="","",IF(P27="",O27,(O27+P27)/2))</f>
        <v/>
      </c>
      <c r="R27" s="2">
        <f>IF(OR(I27="",D27=""),"",I27/D27)</f>
        <v/>
      </c>
      <c r="S27" s="2">
        <f>IFERROR(IF(R27="","",(R27-MIN($R$2:$R$127))/(MAX($R$2:$R$127)-MIN($R$2:$R$127))),"")</f>
        <v/>
      </c>
      <c r="T27" s="2">
        <f>IFERROR(IF(K27="","",(K27-MIN($K$2:$K$127))/(MAX($K$2:$K$127)-MIN($K$2:$K$127))),"")</f>
        <v/>
      </c>
      <c r="U27" s="2">
        <f>IFERROR(IF(L27="","",(L27-MIN($L$2:$L$127))/(MAX($L$2:$L$127)-MIN($L$2:$L$127))),"")</f>
        <v/>
      </c>
      <c r="V27" s="2">
        <f>IF(Q27="","",W_space*Q27+W_service*IF(S27="",0,S27)+W_cat*IF(T27="",0,T27)+W_itin*IF(U27="",0,U27))</f>
        <v/>
      </c>
      <c r="W27" s="2">
        <f>IF(OR(V27="",J27=""),"",V27/(J27/1000))</f>
        <v/>
      </c>
      <c r="X27" s="2">
        <f>IF(F27="",PenMissing,1)*IF(G27="",PenMissing,1)*IF(I27="",PenMissing,1)*IF(J27="",PenMissing,1)</f>
        <v/>
      </c>
      <c r="Y27" s="2">
        <f>IFERROR(IF(W27="","",100*(W27-MIN($W$2:$W$127))/(MAX($W$2:$W$127)-MIN($W$2:$W$127))),"")</f>
        <v/>
      </c>
      <c r="Z27" s="2">
        <f>IF(Y27="","",ROUND(Y27*X27,1))</f>
        <v/>
      </c>
      <c r="AA27" t="inlineStr"/>
    </row>
    <row r="28">
      <c r="A28" s="2">
        <f>IF(Z28="","",RANK(Z28,$Z$2:$Z$127))</f>
        <v/>
      </c>
      <c r="B28" t="inlineStr">
        <is>
          <t>Letty</t>
        </is>
      </c>
      <c r="C28" t="inlineStr">
        <is>
          <t>Premium</t>
        </is>
      </c>
      <c r="D28" s="3" t="n">
        <v>20</v>
      </c>
      <c r="E28" s="3" t="n">
        <v>8</v>
      </c>
      <c r="F28" s="3" t="n">
        <v>25</v>
      </c>
      <c r="G28" s="3" t="n">
        <v>7</v>
      </c>
      <c r="H28" s="3" t="n"/>
      <c r="I28" s="3" t="n">
        <v>3</v>
      </c>
      <c r="J28" s="3" t="n">
        <v>3030</v>
      </c>
      <c r="K28" s="3" t="n">
        <v>4</v>
      </c>
      <c r="M28" s="2">
        <f>IF(OR(F28="",G28="",D28=""),"",ROUND(F28*G28/D28,1))</f>
        <v/>
      </c>
      <c r="N28" s="2">
        <f>IF(OR(H28="",D28=""),"",ROUND(H28/D28,1))</f>
        <v/>
      </c>
      <c r="O28" s="2">
        <f>IFERROR(IF(M28="","",(M28-MIN($M$2:$M$127))/(MAX($M$2:$M$127)-MIN($M$2:$M$127))),"")</f>
        <v/>
      </c>
      <c r="P28" s="2">
        <f>IFERROR(IF(N28="","",(N28-MIN($N$2:$N$127))/(MAX($N$2:$N$127)-MIN($N$2:$N$127))),"")</f>
        <v/>
      </c>
      <c r="Q28" s="2">
        <f>IF(O28="","",IF(P28="",O28,(O28+P28)/2))</f>
        <v/>
      </c>
      <c r="R28" s="2">
        <f>IF(OR(I28="",D28=""),"",I28/D28)</f>
        <v/>
      </c>
      <c r="S28" s="2">
        <f>IFERROR(IF(R28="","",(R28-MIN($R$2:$R$127))/(MAX($R$2:$R$127)-MIN($R$2:$R$127))),"")</f>
        <v/>
      </c>
      <c r="T28" s="2">
        <f>IFERROR(IF(K28="","",(K28-MIN($K$2:$K$127))/(MAX($K$2:$K$127)-MIN($K$2:$K$127))),"")</f>
        <v/>
      </c>
      <c r="U28" s="2">
        <f>IFERROR(IF(L28="","",(L28-MIN($L$2:$L$127))/(MAX($L$2:$L$127)-MIN($L$2:$L$127))),"")</f>
        <v/>
      </c>
      <c r="V28" s="2">
        <f>IF(Q28="","",W_space*Q28+W_service*IF(S28="",0,S28)+W_cat*IF(T28="",0,T28)+W_itin*IF(U28="",0,U28))</f>
        <v/>
      </c>
      <c r="W28" s="2">
        <f>IF(OR(V28="",J28=""),"",V28/(J28/1000))</f>
        <v/>
      </c>
      <c r="X28" s="2">
        <f>IF(F28="",PenMissing,1)*IF(G28="",PenMissing,1)*IF(I28="",PenMissing,1)*IF(J28="",PenMissing,1)</f>
        <v/>
      </c>
      <c r="Y28" s="2">
        <f>IFERROR(IF(W28="","",100*(W28-MIN($W$2:$W$127))/(MAX($W$2:$W$127)-MIN($W$2:$W$127))),"")</f>
        <v/>
      </c>
      <c r="Z28" s="2">
        <f>IF(Y28="","",ROUND(Y28*X28,1))</f>
        <v/>
      </c>
      <c r="AA28" t="inlineStr"/>
    </row>
    <row r="29">
      <c r="A29" s="2">
        <f>IF(Z29="","",RANK(Z29,$Z$2:$Z$127))</f>
        <v/>
      </c>
      <c r="B29" t="inlineStr">
        <is>
          <t>La Pinta</t>
        </is>
      </c>
      <c r="C29" t="inlineStr">
        <is>
          <t>Luxury</t>
        </is>
      </c>
      <c r="D29" s="3" t="n">
        <v>48</v>
      </c>
      <c r="E29" s="3" t="n">
        <v>24</v>
      </c>
      <c r="F29" s="3" t="n">
        <v>63</v>
      </c>
      <c r="G29" s="3" t="n">
        <v>12</v>
      </c>
      <c r="H29" s="3" t="n"/>
      <c r="I29" s="3" t="n">
        <v>1</v>
      </c>
      <c r="J29" s="3" t="n">
        <v>5987</v>
      </c>
      <c r="K29" s="3" t="n">
        <v>5</v>
      </c>
      <c r="L29" t="n">
        <v>63.6</v>
      </c>
      <c r="M29" s="2">
        <f>IF(OR(F29="",G29="",D29=""),"",ROUND(F29*G29/D29,1))</f>
        <v/>
      </c>
      <c r="N29" s="2">
        <f>IF(OR(H29="",D29=""),"",ROUND(H29/D29,1))</f>
        <v/>
      </c>
      <c r="O29" s="2">
        <f>IFERROR(IF(M29="","",(M29-MIN($M$2:$M$127))/(MAX($M$2:$M$127)-MIN($M$2:$M$127))),"")</f>
        <v/>
      </c>
      <c r="P29" s="2">
        <f>IFERROR(IF(N29="","",(N29-MIN($N$2:$N$127))/(MAX($N$2:$N$127)-MIN($N$2:$N$127))),"")</f>
        <v/>
      </c>
      <c r="Q29" s="2">
        <f>IF(O29="","",IF(P29="",O29,(O29+P29)/2))</f>
        <v/>
      </c>
      <c r="R29" s="2">
        <f>IF(OR(I29="",D29=""),"",I29/D29)</f>
        <v/>
      </c>
      <c r="S29" s="2">
        <f>IFERROR(IF(R29="","",(R29-MIN($R$2:$R$127))/(MAX($R$2:$R$127)-MIN($R$2:$R$127))),"")</f>
        <v/>
      </c>
      <c r="T29" s="2">
        <f>IFERROR(IF(K29="","",(K29-MIN($K$2:$K$127))/(MAX($K$2:$K$127)-MIN($K$2:$K$127))),"")</f>
        <v/>
      </c>
      <c r="U29" s="2">
        <f>IFERROR(IF(L29="","",(L29-MIN($L$2:$L$127))/(MAX($L$2:$L$127)-MIN($L$2:$L$127))),"")</f>
        <v/>
      </c>
      <c r="V29" s="2">
        <f>IF(Q29="","",W_space*Q29+W_service*IF(S29="",0,S29)+W_cat*IF(T29="",0,T29)+W_itin*IF(U29="",0,U29))</f>
        <v/>
      </c>
      <c r="W29" s="2">
        <f>IF(OR(V29="",J29=""),"",V29/(J29/1000))</f>
        <v/>
      </c>
      <c r="X29" s="2">
        <f>IF(F29="",PenMissing,1)*IF(G29="",PenMissing,1)*IF(I29="",PenMissing,1)*IF(J29="",PenMissing,1)</f>
        <v/>
      </c>
      <c r="Y29" s="2">
        <f>IFERROR(IF(W29="","",100*(W29-MIN($W$2:$W$127))/(MAX($W$2:$W$127)-MIN($W$2:$W$127))),"")</f>
        <v/>
      </c>
      <c r="Z29" s="2">
        <f>IF(Y29="","",ROUND(Y29*X29,1))</f>
        <v/>
      </c>
      <c r="AA29" t="inlineStr"/>
    </row>
    <row r="30">
      <c r="A30" s="2">
        <f>IF(Z30="","",RANK(Z30,$Z$2:$Z$127))</f>
        <v/>
      </c>
      <c r="B30" t="inlineStr">
        <is>
          <t>Isabela Ii</t>
        </is>
      </c>
      <c r="C30" t="inlineStr">
        <is>
          <t>Premium</t>
        </is>
      </c>
      <c r="D30" s="3" t="n">
        <v>40</v>
      </c>
      <c r="E30" s="3" t="n">
        <v>20</v>
      </c>
      <c r="F30" s="3" t="n">
        <v>38</v>
      </c>
      <c r="G30" s="3" t="n">
        <v>12</v>
      </c>
      <c r="H30" s="3" t="n"/>
      <c r="I30" s="3" t="n">
        <v>27</v>
      </c>
      <c r="J30" s="3" t="n">
        <v>4341</v>
      </c>
      <c r="K30" s="3" t="n">
        <v>5</v>
      </c>
      <c r="L30" t="n">
        <v>62.2</v>
      </c>
      <c r="M30" s="2">
        <f>IF(OR(F30="",G30="",D30=""),"",ROUND(F30*G30/D30,1))</f>
        <v/>
      </c>
      <c r="N30" s="2">
        <f>IF(OR(H30="",D30=""),"",ROUND(H30/D30,1))</f>
        <v/>
      </c>
      <c r="O30" s="2">
        <f>IFERROR(IF(M30="","",(M30-MIN($M$2:$M$127))/(MAX($M$2:$M$127)-MIN($M$2:$M$127))),"")</f>
        <v/>
      </c>
      <c r="P30" s="2">
        <f>IFERROR(IF(N30="","",(N30-MIN($N$2:$N$127))/(MAX($N$2:$N$127)-MIN($N$2:$N$127))),"")</f>
        <v/>
      </c>
      <c r="Q30" s="2">
        <f>IF(O30="","",IF(P30="",O30,(O30+P30)/2))</f>
        <v/>
      </c>
      <c r="R30" s="2">
        <f>IF(OR(I30="",D30=""),"",I30/D30)</f>
        <v/>
      </c>
      <c r="S30" s="2">
        <f>IFERROR(IF(R30="","",(R30-MIN($R$2:$R$127))/(MAX($R$2:$R$127)-MIN($R$2:$R$127))),"")</f>
        <v/>
      </c>
      <c r="T30" s="2">
        <f>IFERROR(IF(K30="","",(K30-MIN($K$2:$K$127))/(MAX($K$2:$K$127)-MIN($K$2:$K$127))),"")</f>
        <v/>
      </c>
      <c r="U30" s="2">
        <f>IFERROR(IF(L30="","",(L30-MIN($L$2:$L$127))/(MAX($L$2:$L$127)-MIN($L$2:$L$127))),"")</f>
        <v/>
      </c>
      <c r="V30" s="2">
        <f>IF(Q30="","",W_space*Q30+W_service*IF(S30="",0,S30)+W_cat*IF(T30="",0,T30)+W_itin*IF(U30="",0,U30))</f>
        <v/>
      </c>
      <c r="W30" s="2">
        <f>IF(OR(V30="",J30=""),"",V30/(J30/1000))</f>
        <v/>
      </c>
      <c r="X30" s="2">
        <f>IF(F30="",PenMissing,1)*IF(G30="",PenMissing,1)*IF(I30="",PenMissing,1)*IF(J30="",PenMissing,1)</f>
        <v/>
      </c>
      <c r="Y30" s="2">
        <f>IFERROR(IF(W30="","",100*(W30-MIN($W$2:$W$127))/(MAX($W$2:$W$127)-MIN($W$2:$W$127))),"")</f>
        <v/>
      </c>
      <c r="Z30" s="2">
        <f>IF(Y30="","",ROUND(Y30*X30,1))</f>
        <v/>
      </c>
      <c r="AA30" t="inlineStr"/>
    </row>
    <row r="31">
      <c r="A31" s="2">
        <f>IF(Z31="","",RANK(Z31,$Z$2:$Z$127))</f>
        <v/>
      </c>
      <c r="B31" t="inlineStr">
        <is>
          <t>Eden</t>
        </is>
      </c>
      <c r="C31" t="inlineStr">
        <is>
          <t>Classic</t>
        </is>
      </c>
      <c r="D31" s="3" t="n">
        <v>16</v>
      </c>
      <c r="E31" s="3" t="n">
        <v>8</v>
      </c>
      <c r="F31" s="3" t="n">
        <v>24</v>
      </c>
      <c r="G31" s="3" t="n">
        <v>6</v>
      </c>
      <c r="H31" s="3" t="n"/>
      <c r="I31" s="3" t="n">
        <v>1</v>
      </c>
      <c r="J31" s="3" t="n">
        <v>4049</v>
      </c>
      <c r="K31" s="3" t="n">
        <v>3</v>
      </c>
      <c r="L31" t="n">
        <v>60.7</v>
      </c>
      <c r="M31" s="2">
        <f>IF(OR(F31="",G31="",D31=""),"",ROUND(F31*G31/D31,1))</f>
        <v/>
      </c>
      <c r="N31" s="2">
        <f>IF(OR(H31="",D31=""),"",ROUND(H31/D31,1))</f>
        <v/>
      </c>
      <c r="O31" s="2">
        <f>IFERROR(IF(M31="","",(M31-MIN($M$2:$M$127))/(MAX($M$2:$M$127)-MIN($M$2:$M$127))),"")</f>
        <v/>
      </c>
      <c r="P31" s="2">
        <f>IFERROR(IF(N31="","",(N31-MIN($N$2:$N$127))/(MAX($N$2:$N$127)-MIN($N$2:$N$127))),"")</f>
        <v/>
      </c>
      <c r="Q31" s="2">
        <f>IF(O31="","",IF(P31="",O31,(O31+P31)/2))</f>
        <v/>
      </c>
      <c r="R31" s="2">
        <f>IF(OR(I31="",D31=""),"",I31/D31)</f>
        <v/>
      </c>
      <c r="S31" s="2">
        <f>IFERROR(IF(R31="","",(R31-MIN($R$2:$R$127))/(MAX($R$2:$R$127)-MIN($R$2:$R$127))),"")</f>
        <v/>
      </c>
      <c r="T31" s="2">
        <f>IFERROR(IF(K31="","",(K31-MIN($K$2:$K$127))/(MAX($K$2:$K$127)-MIN($K$2:$K$127))),"")</f>
        <v/>
      </c>
      <c r="U31" s="2">
        <f>IFERROR(IF(L31="","",(L31-MIN($L$2:$L$127))/(MAX($L$2:$L$127)-MIN($L$2:$L$127))),"")</f>
        <v/>
      </c>
      <c r="V31" s="2">
        <f>IF(Q31="","",W_space*Q31+W_service*IF(S31="",0,S31)+W_cat*IF(T31="",0,T31)+W_itin*IF(U31="",0,U31))</f>
        <v/>
      </c>
      <c r="W31" s="2">
        <f>IF(OR(V31="",J31=""),"",V31/(J31/1000))</f>
        <v/>
      </c>
      <c r="X31" s="2">
        <f>IF(F31="",PenMissing,1)*IF(G31="",PenMissing,1)*IF(I31="",PenMissing,1)*IF(J31="",PenMissing,1)</f>
        <v/>
      </c>
      <c r="Y31" s="2">
        <f>IFERROR(IF(W31="","",100*(W31-MIN($W$2:$W$127))/(MAX($W$2:$W$127)-MIN($W$2:$W$127))),"")</f>
        <v/>
      </c>
      <c r="Z31" s="2">
        <f>IF(Y31="","",ROUND(Y31*X31,1))</f>
        <v/>
      </c>
      <c r="AA31" t="inlineStr">
        <is>
          <t>length_ft_m_mismatch, no_engine_data</t>
        </is>
      </c>
    </row>
    <row r="32">
      <c r="A32" s="2">
        <f>IF(Z32="","",RANK(Z32,$Z$2:$Z$127))</f>
        <v/>
      </c>
      <c r="B32" t="inlineStr">
        <is>
          <t>Monique</t>
        </is>
      </c>
      <c r="C32" t="inlineStr">
        <is>
          <t>Luxury</t>
        </is>
      </c>
      <c r="D32" s="3" t="n">
        <v>16</v>
      </c>
      <c r="E32" s="3" t="n">
        <v>9</v>
      </c>
      <c r="F32" s="3" t="n">
        <v>12.8</v>
      </c>
      <c r="G32" s="3" t="n">
        <v>9</v>
      </c>
      <c r="H32" s="3" t="n"/>
      <c r="I32" s="3" t="n">
        <v>10</v>
      </c>
      <c r="J32" s="3" t="n">
        <v>4190</v>
      </c>
      <c r="K32" s="3" t="n">
        <v>5</v>
      </c>
      <c r="M32" s="2">
        <f>IF(OR(F32="",G32="",D32=""),"",ROUND(F32*G32/D32,1))</f>
        <v/>
      </c>
      <c r="N32" s="2">
        <f>IF(OR(H32="",D32=""),"",ROUND(H32/D32,1))</f>
        <v/>
      </c>
      <c r="O32" s="2">
        <f>IFERROR(IF(M32="","",(M32-MIN($M$2:$M$127))/(MAX($M$2:$M$127)-MIN($M$2:$M$127))),"")</f>
        <v/>
      </c>
      <c r="P32" s="2">
        <f>IFERROR(IF(N32="","",(N32-MIN($N$2:$N$127))/(MAX($N$2:$N$127)-MIN($N$2:$N$127))),"")</f>
        <v/>
      </c>
      <c r="Q32" s="2">
        <f>IF(O32="","",IF(P32="",O32,(O32+P32)/2))</f>
        <v/>
      </c>
      <c r="R32" s="2">
        <f>IF(OR(I32="",D32=""),"",I32/D32)</f>
        <v/>
      </c>
      <c r="S32" s="2">
        <f>IFERROR(IF(R32="","",(R32-MIN($R$2:$R$127))/(MAX($R$2:$R$127)-MIN($R$2:$R$127))),"")</f>
        <v/>
      </c>
      <c r="T32" s="2">
        <f>IFERROR(IF(K32="","",(K32-MIN($K$2:$K$127))/(MAX($K$2:$K$127)-MIN($K$2:$K$127))),"")</f>
        <v/>
      </c>
      <c r="U32" s="2">
        <f>IFERROR(IF(L32="","",(L32-MIN($L$2:$L$127))/(MAX($L$2:$L$127)-MIN($L$2:$L$127))),"")</f>
        <v/>
      </c>
      <c r="V32" s="2">
        <f>IF(Q32="","",W_space*Q32+W_service*IF(S32="",0,S32)+W_cat*IF(T32="",0,T32)+W_itin*IF(U32="",0,U32))</f>
        <v/>
      </c>
      <c r="W32" s="2">
        <f>IF(OR(V32="",J32=""),"",V32/(J32/1000))</f>
        <v/>
      </c>
      <c r="X32" s="2">
        <f>IF(F32="",PenMissing,1)*IF(G32="",PenMissing,1)*IF(I32="",PenMissing,1)*IF(J32="",PenMissing,1)</f>
        <v/>
      </c>
      <c r="Y32" s="2">
        <f>IFERROR(IF(W32="","",100*(W32-MIN($W$2:$W$127))/(MAX($W$2:$W$127)-MIN($W$2:$W$127))),"")</f>
        <v/>
      </c>
      <c r="Z32" s="2">
        <f>IF(Y32="","",ROUND(Y32*X32,1))</f>
        <v/>
      </c>
      <c r="AA32" t="inlineStr">
        <is>
          <t>length_ft_m_mismatch, no_engine_data</t>
        </is>
      </c>
    </row>
    <row r="33">
      <c r="A33" s="2">
        <f>IF(Z33="","",RANK(Z33,$Z$2:$Z$127))</f>
        <v/>
      </c>
      <c r="B33" t="inlineStr">
        <is>
          <t>Aqua Diving</t>
        </is>
      </c>
      <c r="C33" t="inlineStr">
        <is>
          <t>Budget</t>
        </is>
      </c>
      <c r="D33" s="3" t="n">
        <v>16</v>
      </c>
      <c r="E33" s="3" t="n">
        <v>9</v>
      </c>
      <c r="F33" s="3" t="n">
        <v>26</v>
      </c>
      <c r="G33" s="3" t="n">
        <v>5</v>
      </c>
      <c r="H33" s="3" t="n"/>
      <c r="I33" s="3" t="n">
        <v>7</v>
      </c>
      <c r="J33" s="3" t="n">
        <v>5195</v>
      </c>
      <c r="K33" s="3" t="n">
        <v>3</v>
      </c>
      <c r="L33" t="n">
        <v>63.7</v>
      </c>
      <c r="M33" s="2">
        <f>IF(OR(F33="",G33="",D33=""),"",ROUND(F33*G33/D33,1))</f>
        <v/>
      </c>
      <c r="N33" s="2">
        <f>IF(OR(H33="",D33=""),"",ROUND(H33/D33,1))</f>
        <v/>
      </c>
      <c r="O33" s="2">
        <f>IFERROR(IF(M33="","",(M33-MIN($M$2:$M$127))/(MAX($M$2:$M$127)-MIN($M$2:$M$127))),"")</f>
        <v/>
      </c>
      <c r="P33" s="2">
        <f>IFERROR(IF(N33="","",(N33-MIN($N$2:$N$127))/(MAX($N$2:$N$127)-MIN($N$2:$N$127))),"")</f>
        <v/>
      </c>
      <c r="Q33" s="2">
        <f>IF(O33="","",IF(P33="",O33,(O33+P33)/2))</f>
        <v/>
      </c>
      <c r="R33" s="2">
        <f>IF(OR(I33="",D33=""),"",I33/D33)</f>
        <v/>
      </c>
      <c r="S33" s="2">
        <f>IFERROR(IF(R33="","",(R33-MIN($R$2:$R$127))/(MAX($R$2:$R$127)-MIN($R$2:$R$127))),"")</f>
        <v/>
      </c>
      <c r="T33" s="2">
        <f>IFERROR(IF(K33="","",(K33-MIN($K$2:$K$127))/(MAX($K$2:$K$127)-MIN($K$2:$K$127))),"")</f>
        <v/>
      </c>
      <c r="U33" s="2">
        <f>IFERROR(IF(L33="","",(L33-MIN($L$2:$L$127))/(MAX($L$2:$L$127)-MIN($L$2:$L$127))),"")</f>
        <v/>
      </c>
      <c r="V33" s="2">
        <f>IF(Q33="","",W_space*Q33+W_service*IF(S33="",0,S33)+W_cat*IF(T33="",0,T33)+W_itin*IF(U33="",0,U33))</f>
        <v/>
      </c>
      <c r="W33" s="2">
        <f>IF(OR(V33="",J33=""),"",V33/(J33/1000))</f>
        <v/>
      </c>
      <c r="X33" s="2">
        <f>IF(F33="",PenMissing,1)*IF(G33="",PenMissing,1)*IF(I33="",PenMissing,1)*IF(J33="",PenMissing,1)</f>
        <v/>
      </c>
      <c r="Y33" s="2">
        <f>IFERROR(IF(W33="","",100*(W33-MIN($W$2:$W$127))/(MAX($W$2:$W$127)-MIN($W$2:$W$127))),"")</f>
        <v/>
      </c>
      <c r="Z33" s="2">
        <f>IF(Y33="","",ROUND(Y33*X33,1))</f>
        <v/>
      </c>
      <c r="AA33" t="inlineStr"/>
    </row>
    <row r="34">
      <c r="A34" s="2">
        <f>IF(Z34="","",RANK(Z34,$Z$2:$Z$127))</f>
        <v/>
      </c>
      <c r="B34" t="inlineStr">
        <is>
          <t>Aggressor Iii</t>
        </is>
      </c>
      <c r="C34" t="inlineStr">
        <is>
          <t>Classic</t>
        </is>
      </c>
      <c r="D34" s="3" t="n">
        <v>16</v>
      </c>
      <c r="E34" s="3" t="n">
        <v>8</v>
      </c>
      <c r="F34" s="3" t="n">
        <v>30</v>
      </c>
      <c r="G34" s="3" t="n">
        <v>7</v>
      </c>
      <c r="H34" s="3" t="n"/>
      <c r="I34" s="3" t="n">
        <v>5</v>
      </c>
      <c r="J34" s="3" t="n"/>
      <c r="K34" s="3" t="n">
        <v>4</v>
      </c>
      <c r="M34" s="2">
        <f>IF(OR(F34="",G34="",D34=""),"",ROUND(F34*G34/D34,1))</f>
        <v/>
      </c>
      <c r="N34" s="2">
        <f>IF(OR(H34="",D34=""),"",ROUND(H34/D34,1))</f>
        <v/>
      </c>
      <c r="O34" s="2">
        <f>IFERROR(IF(M34="","",(M34-MIN($M$2:$M$127))/(MAX($M$2:$M$127)-MIN($M$2:$M$127))),"")</f>
        <v/>
      </c>
      <c r="P34" s="2">
        <f>IFERROR(IF(N34="","",(N34-MIN($N$2:$N$127))/(MAX($N$2:$N$127)-MIN($N$2:$N$127))),"")</f>
        <v/>
      </c>
      <c r="Q34" s="2">
        <f>IF(O34="","",IF(P34="",O34,(O34+P34)/2))</f>
        <v/>
      </c>
      <c r="R34" s="2">
        <f>IF(OR(I34="",D34=""),"",I34/D34)</f>
        <v/>
      </c>
      <c r="S34" s="2">
        <f>IFERROR(IF(R34="","",(R34-MIN($R$2:$R$127))/(MAX($R$2:$R$127)-MIN($R$2:$R$127))),"")</f>
        <v/>
      </c>
      <c r="T34" s="2">
        <f>IFERROR(IF(K34="","",(K34-MIN($K$2:$K$127))/(MAX($K$2:$K$127)-MIN($K$2:$K$127))),"")</f>
        <v/>
      </c>
      <c r="U34" s="2">
        <f>IFERROR(IF(L34="","",(L34-MIN($L$2:$L$127))/(MAX($L$2:$L$127)-MIN($L$2:$L$127))),"")</f>
        <v/>
      </c>
      <c r="V34" s="2">
        <f>IF(Q34="","",W_space*Q34+W_service*IF(S34="",0,S34)+W_cat*IF(T34="",0,T34)+W_itin*IF(U34="",0,U34))</f>
        <v/>
      </c>
      <c r="W34" s="2">
        <f>IF(OR(V34="",J34=""),"",V34/(J34/1000))</f>
        <v/>
      </c>
      <c r="X34" s="2">
        <f>IF(F34="",PenMissing,1)*IF(G34="",PenMissing,1)*IF(I34="",PenMissing,1)*IF(J34="",PenMissing,1)</f>
        <v/>
      </c>
      <c r="Y34" s="2">
        <f>IFERROR(IF(W34="","",100*(W34-MIN($W$2:$W$127))/(MAX($W$2:$W$127)-MIN($W$2:$W$127))),"")</f>
        <v/>
      </c>
      <c r="Z34" s="2">
        <f>IF(Y34="","",ROUND(Y34*X34,1))</f>
        <v/>
      </c>
      <c r="AA34" t="inlineStr">
        <is>
          <t>missing_price_per_day</t>
        </is>
      </c>
    </row>
    <row r="35">
      <c r="A35" s="2">
        <f>IF(Z35="","",RANK(Z35,$Z$2:$Z$127))</f>
        <v/>
      </c>
      <c r="B35" t="inlineStr">
        <is>
          <t>Alia</t>
        </is>
      </c>
      <c r="C35" t="inlineStr">
        <is>
          <t>Luxury</t>
        </is>
      </c>
      <c r="D35" s="3" t="n">
        <v>16</v>
      </c>
      <c r="E35" s="3" t="n"/>
      <c r="F35" s="3" t="n">
        <v>32</v>
      </c>
      <c r="G35" s="3" t="n">
        <v>13</v>
      </c>
      <c r="H35" s="3" t="n"/>
      <c r="I35" s="3" t="n"/>
      <c r="J35" s="3" t="n"/>
      <c r="K35" s="3" t="n"/>
      <c r="M35" s="2">
        <f>IF(OR(F35="",G35="",D35=""),"",ROUND(F35*G35/D35,1))</f>
        <v/>
      </c>
      <c r="N35" s="2">
        <f>IF(OR(H35="",D35=""),"",ROUND(H35/D35,1))</f>
        <v/>
      </c>
      <c r="O35" s="2">
        <f>IFERROR(IF(M35="","",(M35-MIN($M$2:$M$127))/(MAX($M$2:$M$127)-MIN($M$2:$M$127))),"")</f>
        <v/>
      </c>
      <c r="P35" s="2">
        <f>IFERROR(IF(N35="","",(N35-MIN($N$2:$N$127))/(MAX($N$2:$N$127)-MIN($N$2:$N$127))),"")</f>
        <v/>
      </c>
      <c r="Q35" s="2">
        <f>IF(O35="","",IF(P35="",O35,(O35+P35)/2))</f>
        <v/>
      </c>
      <c r="R35" s="2">
        <f>IF(OR(I35="",D35=""),"",I35/D35)</f>
        <v/>
      </c>
      <c r="S35" s="2">
        <f>IFERROR(IF(R35="","",(R35-MIN($R$2:$R$127))/(MAX($R$2:$R$127)-MIN($R$2:$R$127))),"")</f>
        <v/>
      </c>
      <c r="T35" s="2">
        <f>IFERROR(IF(K35="","",(K35-MIN($K$2:$K$127))/(MAX($K$2:$K$127)-MIN($K$2:$K$127))),"")</f>
        <v/>
      </c>
      <c r="U35" s="2">
        <f>IFERROR(IF(L35="","",(L35-MIN($L$2:$L$127))/(MAX($L$2:$L$127)-MIN($L$2:$L$127))),"")</f>
        <v/>
      </c>
      <c r="V35" s="2">
        <f>IF(Q35="","",W_space*Q35+W_service*IF(S35="",0,S35)+W_cat*IF(T35="",0,T35)+W_itin*IF(U35="",0,U35))</f>
        <v/>
      </c>
      <c r="W35" s="2">
        <f>IF(OR(V35="",J35=""),"",V35/(J35/1000))</f>
        <v/>
      </c>
      <c r="X35" s="2">
        <f>IF(F35="",PenMissing,1)*IF(G35="",PenMissing,1)*IF(I35="",PenMissing,1)*IF(J35="",PenMissing,1)</f>
        <v/>
      </c>
      <c r="Y35" s="2">
        <f>IFERROR(IF(W35="","",100*(W35-MIN($W$2:$W$127))/(MAX($W$2:$W$127)-MIN($W$2:$W$127))),"")</f>
        <v/>
      </c>
      <c r="Z35" s="2">
        <f>IF(Y35="","",ROUND(Y35*X35,1))</f>
        <v/>
      </c>
      <c r="AA35" t="inlineStr">
        <is>
          <t>no_engine_data, missing_crew_count, missing_price_per_day</t>
        </is>
      </c>
    </row>
    <row r="36">
      <c r="A36" s="2">
        <f>IF(Z36="","",RANK(Z36,$Z$2:$Z$127))</f>
        <v/>
      </c>
      <c r="B36" t="inlineStr">
        <is>
          <t>Anahi</t>
        </is>
      </c>
      <c r="C36" t="inlineStr">
        <is>
          <t>Premium</t>
        </is>
      </c>
      <c r="D36" s="3" t="n">
        <v>16</v>
      </c>
      <c r="E36" s="3" t="n">
        <v>8</v>
      </c>
      <c r="F36" s="3" t="n"/>
      <c r="G36" s="3" t="n">
        <v>11</v>
      </c>
      <c r="H36" s="3" t="n"/>
      <c r="I36" s="3" t="n">
        <v>1</v>
      </c>
      <c r="J36" s="3" t="n">
        <v>3150</v>
      </c>
      <c r="K36" s="3" t="n">
        <v>4</v>
      </c>
      <c r="L36" t="n">
        <v>65.40000000000001</v>
      </c>
      <c r="M36" s="2">
        <f>IF(OR(F36="",G36="",D36=""),"",ROUND(F36*G36/D36,1))</f>
        <v/>
      </c>
      <c r="N36" s="2">
        <f>IF(OR(H36="",D36=""),"",ROUND(H36/D36,1))</f>
        <v/>
      </c>
      <c r="O36" s="2">
        <f>IFERROR(IF(M36="","",(M36-MIN($M$2:$M$127))/(MAX($M$2:$M$127)-MIN($M$2:$M$127))),"")</f>
        <v/>
      </c>
      <c r="P36" s="2">
        <f>IFERROR(IF(N36="","",(N36-MIN($N$2:$N$127))/(MAX($N$2:$N$127)-MIN($N$2:$N$127))),"")</f>
        <v/>
      </c>
      <c r="Q36" s="2">
        <f>IF(O36="","",IF(P36="",O36,(O36+P36)/2))</f>
        <v/>
      </c>
      <c r="R36" s="2">
        <f>IF(OR(I36="",D36=""),"",I36/D36)</f>
        <v/>
      </c>
      <c r="S36" s="2">
        <f>IFERROR(IF(R36="","",(R36-MIN($R$2:$R$127))/(MAX($R$2:$R$127)-MIN($R$2:$R$127))),"")</f>
        <v/>
      </c>
      <c r="T36" s="2">
        <f>IFERROR(IF(K36="","",(K36-MIN($K$2:$K$127))/(MAX($K$2:$K$127)-MIN($K$2:$K$127))),"")</f>
        <v/>
      </c>
      <c r="U36" s="2">
        <f>IFERROR(IF(L36="","",(L36-MIN($L$2:$L$127))/(MAX($L$2:$L$127)-MIN($L$2:$L$127))),"")</f>
        <v/>
      </c>
      <c r="V36" s="2">
        <f>IF(Q36="","",W_space*Q36+W_service*IF(S36="",0,S36)+W_cat*IF(T36="",0,T36)+W_itin*IF(U36="",0,U36))</f>
        <v/>
      </c>
      <c r="W36" s="2">
        <f>IF(OR(V36="",J36=""),"",V36/(J36/1000))</f>
        <v/>
      </c>
      <c r="X36" s="2">
        <f>IF(F36="",PenMissing,1)*IF(G36="",PenMissing,1)*IF(I36="",PenMissing,1)*IF(J36="",PenMissing,1)</f>
        <v/>
      </c>
      <c r="Y36" s="2">
        <f>IFERROR(IF(W36="","",100*(W36-MIN($W$2:$W$127))/(MAX($W$2:$W$127)-MIN($W$2:$W$127))),"")</f>
        <v/>
      </c>
      <c r="Z36" s="2">
        <f>IF(Y36="","",ROUND(Y36*X36,1))</f>
        <v/>
      </c>
      <c r="AA36" t="inlineStr">
        <is>
          <t>length_ft_m_mismatch, length_ft_m_mismatch, missing_length_m</t>
        </is>
      </c>
    </row>
    <row r="37">
      <c r="A37" s="2">
        <f>IF(Z37="","",RANK(Z37,$Z$2:$Z$127))</f>
        <v/>
      </c>
      <c r="B37" t="inlineStr">
        <is>
          <t>Anali</t>
        </is>
      </c>
      <c r="C37" t="inlineStr">
        <is>
          <t>Classic</t>
        </is>
      </c>
      <c r="D37" s="3" t="n">
        <v>16</v>
      </c>
      <c r="E37" s="3" t="n"/>
      <c r="F37" s="3" t="n">
        <v>27</v>
      </c>
      <c r="G37" s="3" t="n">
        <v>11</v>
      </c>
      <c r="H37" s="3" t="n"/>
      <c r="I37" s="3" t="n"/>
      <c r="J37" s="3" t="n"/>
      <c r="K37" s="3" t="n"/>
      <c r="M37" s="2">
        <f>IF(OR(F37="",G37="",D37=""),"",ROUND(F37*G37/D37,1))</f>
        <v/>
      </c>
      <c r="N37" s="2">
        <f>IF(OR(H37="",D37=""),"",ROUND(H37/D37,1))</f>
        <v/>
      </c>
      <c r="O37" s="2">
        <f>IFERROR(IF(M37="","",(M37-MIN($M$2:$M$127))/(MAX($M$2:$M$127)-MIN($M$2:$M$127))),"")</f>
        <v/>
      </c>
      <c r="P37" s="2">
        <f>IFERROR(IF(N37="","",(N37-MIN($N$2:$N$127))/(MAX($N$2:$N$127)-MIN($N$2:$N$127))),"")</f>
        <v/>
      </c>
      <c r="Q37" s="2">
        <f>IF(O37="","",IF(P37="",O37,(O37+P37)/2))</f>
        <v/>
      </c>
      <c r="R37" s="2">
        <f>IF(OR(I37="",D37=""),"",I37/D37)</f>
        <v/>
      </c>
      <c r="S37" s="2">
        <f>IFERROR(IF(R37="","",(R37-MIN($R$2:$R$127))/(MAX($R$2:$R$127)-MIN($R$2:$R$127))),"")</f>
        <v/>
      </c>
      <c r="T37" s="2">
        <f>IFERROR(IF(K37="","",(K37-MIN($K$2:$K$127))/(MAX($K$2:$K$127)-MIN($K$2:$K$127))),"")</f>
        <v/>
      </c>
      <c r="U37" s="2">
        <f>IFERROR(IF(L37="","",(L37-MIN($L$2:$L$127))/(MAX($L$2:$L$127)-MIN($L$2:$L$127))),"")</f>
        <v/>
      </c>
      <c r="V37" s="2">
        <f>IF(Q37="","",W_space*Q37+W_service*IF(S37="",0,S37)+W_cat*IF(T37="",0,T37)+W_itin*IF(U37="",0,U37))</f>
        <v/>
      </c>
      <c r="W37" s="2">
        <f>IF(OR(V37="",J37=""),"",V37/(J37/1000))</f>
        <v/>
      </c>
      <c r="X37" s="2">
        <f>IF(F37="",PenMissing,1)*IF(G37="",PenMissing,1)*IF(I37="",PenMissing,1)*IF(J37="",PenMissing,1)</f>
        <v/>
      </c>
      <c r="Y37" s="2">
        <f>IFERROR(IF(W37="","",100*(W37-MIN($W$2:$W$127))/(MAX($W$2:$W$127)-MIN($W$2:$W$127))),"")</f>
        <v/>
      </c>
      <c r="Z37" s="2">
        <f>IF(Y37="","",ROUND(Y37*X37,1))</f>
        <v/>
      </c>
      <c r="AA37" t="inlineStr">
        <is>
          <t>no_engine_data, missing_crew_count, missing_price_per_day</t>
        </is>
      </c>
    </row>
    <row r="38">
      <c r="A38" s="2">
        <f>IF(Z38="","",RANK(Z38,$Z$2:$Z$127))</f>
        <v/>
      </c>
      <c r="B38" t="inlineStr">
        <is>
          <t>Aqua Mare</t>
        </is>
      </c>
      <c r="C38" t="inlineStr">
        <is>
          <t>Luxury</t>
        </is>
      </c>
      <c r="D38" s="3" t="n">
        <v>16</v>
      </c>
      <c r="E38" s="3" t="n">
        <v>7</v>
      </c>
      <c r="F38" s="3" t="n">
        <v>50</v>
      </c>
      <c r="G38" s="3" t="n">
        <v>18</v>
      </c>
      <c r="H38" s="3" t="n"/>
      <c r="I38" s="3" t="n">
        <v>12</v>
      </c>
      <c r="J38" s="3" t="n"/>
      <c r="K38" s="3" t="n">
        <v>5</v>
      </c>
      <c r="M38" s="2">
        <f>IF(OR(F38="",G38="",D38=""),"",ROUND(F38*G38/D38,1))</f>
        <v/>
      </c>
      <c r="N38" s="2">
        <f>IF(OR(H38="",D38=""),"",ROUND(H38/D38,1))</f>
        <v/>
      </c>
      <c r="O38" s="2">
        <f>IFERROR(IF(M38="","",(M38-MIN($M$2:$M$127))/(MAX($M$2:$M$127)-MIN($M$2:$M$127))),"")</f>
        <v/>
      </c>
      <c r="P38" s="2">
        <f>IFERROR(IF(N38="","",(N38-MIN($N$2:$N$127))/(MAX($N$2:$N$127)-MIN($N$2:$N$127))),"")</f>
        <v/>
      </c>
      <c r="Q38" s="2">
        <f>IF(O38="","",IF(P38="",O38,(O38+P38)/2))</f>
        <v/>
      </c>
      <c r="R38" s="2">
        <f>IF(OR(I38="",D38=""),"",I38/D38)</f>
        <v/>
      </c>
      <c r="S38" s="2">
        <f>IFERROR(IF(R38="","",(R38-MIN($R$2:$R$127))/(MAX($R$2:$R$127)-MIN($R$2:$R$127))),"")</f>
        <v/>
      </c>
      <c r="T38" s="2">
        <f>IFERROR(IF(K38="","",(K38-MIN($K$2:$K$127))/(MAX($K$2:$K$127)-MIN($K$2:$K$127))),"")</f>
        <v/>
      </c>
      <c r="U38" s="2">
        <f>IFERROR(IF(L38="","",(L38-MIN($L$2:$L$127))/(MAX($L$2:$L$127)-MIN($L$2:$L$127))),"")</f>
        <v/>
      </c>
      <c r="V38" s="2">
        <f>IF(Q38="","",W_space*Q38+W_service*IF(S38="",0,S38)+W_cat*IF(T38="",0,T38)+W_itin*IF(U38="",0,U38))</f>
        <v/>
      </c>
      <c r="W38" s="2">
        <f>IF(OR(V38="",J38=""),"",V38/(J38/1000))</f>
        <v/>
      </c>
      <c r="X38" s="2">
        <f>IF(F38="",PenMissing,1)*IF(G38="",PenMissing,1)*IF(I38="",PenMissing,1)*IF(J38="",PenMissing,1)</f>
        <v/>
      </c>
      <c r="Y38" s="2">
        <f>IFERROR(IF(W38="","",100*(W38-MIN($W$2:$W$127))/(MAX($W$2:$W$127)-MIN($W$2:$W$127))),"")</f>
        <v/>
      </c>
      <c r="Z38" s="2">
        <f>IF(Y38="","",ROUND(Y38*X38,1))</f>
        <v/>
      </c>
      <c r="AA38" t="inlineStr">
        <is>
          <t>missing_price_per_day</t>
        </is>
      </c>
    </row>
    <row r="39">
      <c r="A39" s="2">
        <f>IF(Z39="","",RANK(Z39,$Z$2:$Z$127))</f>
        <v/>
      </c>
      <c r="B39" t="inlineStr">
        <is>
          <t>Archipell I</t>
        </is>
      </c>
      <c r="C39" t="inlineStr">
        <is>
          <t>Classic</t>
        </is>
      </c>
      <c r="D39" s="3" t="n">
        <v>16</v>
      </c>
      <c r="E39" s="3" t="n">
        <v>8</v>
      </c>
      <c r="F39" s="3" t="n"/>
      <c r="G39" s="3" t="n">
        <v>8</v>
      </c>
      <c r="H39" s="3" t="n"/>
      <c r="I39" s="3" t="n"/>
      <c r="J39" s="3" t="n"/>
      <c r="K39" s="3" t="n"/>
      <c r="L39" t="n">
        <v>60.5</v>
      </c>
      <c r="M39" s="2">
        <f>IF(OR(F39="",G39="",D39=""),"",ROUND(F39*G39/D39,1))</f>
        <v/>
      </c>
      <c r="N39" s="2">
        <f>IF(OR(H39="",D39=""),"",ROUND(H39/D39,1))</f>
        <v/>
      </c>
      <c r="O39" s="2">
        <f>IFERROR(IF(M39="","",(M39-MIN($M$2:$M$127))/(MAX($M$2:$M$127)-MIN($M$2:$M$127))),"")</f>
        <v/>
      </c>
      <c r="P39" s="2">
        <f>IFERROR(IF(N39="","",(N39-MIN($N$2:$N$127))/(MAX($N$2:$N$127)-MIN($N$2:$N$127))),"")</f>
        <v/>
      </c>
      <c r="Q39" s="2">
        <f>IF(O39="","",IF(P39="",O39,(O39+P39)/2))</f>
        <v/>
      </c>
      <c r="R39" s="2">
        <f>IF(OR(I39="",D39=""),"",I39/D39)</f>
        <v/>
      </c>
      <c r="S39" s="2">
        <f>IFERROR(IF(R39="","",(R39-MIN($R$2:$R$127))/(MAX($R$2:$R$127)-MIN($R$2:$R$127))),"")</f>
        <v/>
      </c>
      <c r="T39" s="2">
        <f>IFERROR(IF(K39="","",(K39-MIN($K$2:$K$127))/(MAX($K$2:$K$127)-MIN($K$2:$K$127))),"")</f>
        <v/>
      </c>
      <c r="U39" s="2">
        <f>IFERROR(IF(L39="","",(L39-MIN($L$2:$L$127))/(MAX($L$2:$L$127)-MIN($L$2:$L$127))),"")</f>
        <v/>
      </c>
      <c r="V39" s="2">
        <f>IF(Q39="","",W_space*Q39+W_service*IF(S39="",0,S39)+W_cat*IF(T39="",0,T39)+W_itin*IF(U39="",0,U39))</f>
        <v/>
      </c>
      <c r="W39" s="2">
        <f>IF(OR(V39="",J39=""),"",V39/(J39/1000))</f>
        <v/>
      </c>
      <c r="X39" s="2">
        <f>IF(F39="",PenMissing,1)*IF(G39="",PenMissing,1)*IF(I39="",PenMissing,1)*IF(J39="",PenMissing,1)</f>
        <v/>
      </c>
      <c r="Y39" s="2">
        <f>IFERROR(IF(W39="","",100*(W39-MIN($W$2:$W$127))/(MAX($W$2:$W$127)-MIN($W$2:$W$127))),"")</f>
        <v/>
      </c>
      <c r="Z39" s="2">
        <f>IF(Y39="","",ROUND(Y39*X39,1))</f>
        <v/>
      </c>
      <c r="AA39" t="inlineStr">
        <is>
          <t>length_out_of_range, no_engine_data, missing_length_m, missing_crew_count, missing_price_per_day</t>
        </is>
      </c>
    </row>
    <row r="40">
      <c r="A40" s="2">
        <f>IF(Z40="","",RANK(Z40,$Z$2:$Z$127))</f>
        <v/>
      </c>
      <c r="B40" t="inlineStr">
        <is>
          <t>ARCHIPELL II</t>
        </is>
      </c>
      <c r="C40" t="inlineStr">
        <is>
          <t>First Class</t>
        </is>
      </c>
      <c r="D40" s="3" t="n">
        <v>16</v>
      </c>
      <c r="E40" s="3" t="n">
        <v>8</v>
      </c>
      <c r="F40" s="3" t="n"/>
      <c r="G40" s="3" t="n"/>
      <c r="H40" s="3" t="n"/>
      <c r="I40" s="3" t="n"/>
      <c r="J40" s="3" t="n"/>
      <c r="K40" s="3" t="n"/>
      <c r="L40" t="n">
        <v>62.5</v>
      </c>
      <c r="M40" s="2">
        <f>IF(OR(F40="",G40="",D40=""),"",ROUND(F40*G40/D40,1))</f>
        <v/>
      </c>
      <c r="N40" s="2">
        <f>IF(OR(H40="",D40=""),"",ROUND(H40/D40,1))</f>
        <v/>
      </c>
      <c r="O40" s="2">
        <f>IFERROR(IF(M40="","",(M40-MIN($M$2:$M$127))/(MAX($M$2:$M$127)-MIN($M$2:$M$127))),"")</f>
        <v/>
      </c>
      <c r="P40" s="2">
        <f>IFERROR(IF(N40="","",(N40-MIN($N$2:$N$127))/(MAX($N$2:$N$127)-MIN($N$2:$N$127))),"")</f>
        <v/>
      </c>
      <c r="Q40" s="2">
        <f>IF(O40="","",IF(P40="",O40,(O40+P40)/2))</f>
        <v/>
      </c>
      <c r="R40" s="2">
        <f>IF(OR(I40="",D40=""),"",I40/D40)</f>
        <v/>
      </c>
      <c r="S40" s="2">
        <f>IFERROR(IF(R40="","",(R40-MIN($R$2:$R$127))/(MAX($R$2:$R$127)-MIN($R$2:$R$127))),"")</f>
        <v/>
      </c>
      <c r="T40" s="2">
        <f>IFERROR(IF(K40="","",(K40-MIN($K$2:$K$127))/(MAX($K$2:$K$127)-MIN($K$2:$K$127))),"")</f>
        <v/>
      </c>
      <c r="U40" s="2">
        <f>IFERROR(IF(L40="","",(L40-MIN($L$2:$L$127))/(MAX($L$2:$L$127)-MIN($L$2:$L$127))),"")</f>
        <v/>
      </c>
      <c r="V40" s="2">
        <f>IF(Q40="","",W_space*Q40+W_service*IF(S40="",0,S40)+W_cat*IF(T40="",0,T40)+W_itin*IF(U40="",0,U40))</f>
        <v/>
      </c>
      <c r="W40" s="2">
        <f>IF(OR(V40="",J40=""),"",V40/(J40/1000))</f>
        <v/>
      </c>
      <c r="X40" s="2">
        <f>IF(F40="",PenMissing,1)*IF(G40="",PenMissing,1)*IF(I40="",PenMissing,1)*IF(J40="",PenMissing,1)</f>
        <v/>
      </c>
      <c r="Y40" s="2">
        <f>IFERROR(IF(W40="","",100*(W40-MIN($W$2:$W$127))/(MAX($W$2:$W$127)-MIN($W$2:$W$127))),"")</f>
        <v/>
      </c>
      <c r="Z40" s="2">
        <f>IF(Y40="","",ROUND(Y40*X40,1))</f>
        <v/>
      </c>
      <c r="AA40" t="inlineStr">
        <is>
          <t>no_engine_data, missing_length_m, missing_beam_m, missing_speed_kn, missing_crew_count, missing_price_per_day</t>
        </is>
      </c>
    </row>
    <row r="41">
      <c r="A41" s="2">
        <f>IF(Z41="","",RANK(Z41,$Z$2:$Z$127))</f>
        <v/>
      </c>
      <c r="B41" t="inlineStr">
        <is>
          <t>Beagle</t>
        </is>
      </c>
      <c r="C41" t="inlineStr">
        <is>
          <t>Classic</t>
        </is>
      </c>
      <c r="D41" s="3" t="n">
        <v>14</v>
      </c>
      <c r="E41" s="3" t="n">
        <v>7</v>
      </c>
      <c r="F41" s="3" t="n">
        <v>32</v>
      </c>
      <c r="G41" s="3" t="n">
        <v>7</v>
      </c>
      <c r="H41" s="3" t="n"/>
      <c r="I41" s="3" t="n">
        <v>5</v>
      </c>
      <c r="J41" s="3" t="n"/>
      <c r="K41" s="3" t="n">
        <v>4</v>
      </c>
      <c r="M41" s="2">
        <f>IF(OR(F41="",G41="",D41=""),"",ROUND(F41*G41/D41,1))</f>
        <v/>
      </c>
      <c r="N41" s="2">
        <f>IF(OR(H41="",D41=""),"",ROUND(H41/D41,1))</f>
        <v/>
      </c>
      <c r="O41" s="2">
        <f>IFERROR(IF(M41="","",(M41-MIN($M$2:$M$127))/(MAX($M$2:$M$127)-MIN($M$2:$M$127))),"")</f>
        <v/>
      </c>
      <c r="P41" s="2">
        <f>IFERROR(IF(N41="","",(N41-MIN($N$2:$N$127))/(MAX($N$2:$N$127)-MIN($N$2:$N$127))),"")</f>
        <v/>
      </c>
      <c r="Q41" s="2">
        <f>IF(O41="","",IF(P41="",O41,(O41+P41)/2))</f>
        <v/>
      </c>
      <c r="R41" s="2">
        <f>IF(OR(I41="",D41=""),"",I41/D41)</f>
        <v/>
      </c>
      <c r="S41" s="2">
        <f>IFERROR(IF(R41="","",(R41-MIN($R$2:$R$127))/(MAX($R$2:$R$127)-MIN($R$2:$R$127))),"")</f>
        <v/>
      </c>
      <c r="T41" s="2">
        <f>IFERROR(IF(K41="","",(K41-MIN($K$2:$K$127))/(MAX($K$2:$K$127)-MIN($K$2:$K$127))),"")</f>
        <v/>
      </c>
      <c r="U41" s="2">
        <f>IFERROR(IF(L41="","",(L41-MIN($L$2:$L$127))/(MAX($L$2:$L$127)-MIN($L$2:$L$127))),"")</f>
        <v/>
      </c>
      <c r="V41" s="2">
        <f>IF(Q41="","",W_space*Q41+W_service*IF(S41="",0,S41)+W_cat*IF(T41="",0,T41)+W_itin*IF(U41="",0,U41))</f>
        <v/>
      </c>
      <c r="W41" s="2">
        <f>IF(OR(V41="",J41=""),"",V41/(J41/1000))</f>
        <v/>
      </c>
      <c r="X41" s="2">
        <f>IF(F41="",PenMissing,1)*IF(G41="",PenMissing,1)*IF(I41="",PenMissing,1)*IF(J41="",PenMissing,1)</f>
        <v/>
      </c>
      <c r="Y41" s="2">
        <f>IFERROR(IF(W41="","",100*(W41-MIN($W$2:$W$127))/(MAX($W$2:$W$127)-MIN($W$2:$W$127))),"")</f>
        <v/>
      </c>
      <c r="Z41" s="2">
        <f>IF(Y41="","",ROUND(Y41*X41,1))</f>
        <v/>
      </c>
      <c r="AA41" t="inlineStr">
        <is>
          <t>missing_price_per_day</t>
        </is>
      </c>
    </row>
    <row r="42">
      <c r="A42" s="2">
        <f>IF(Z42="","",RANK(Z42,$Z$2:$Z$127))</f>
        <v/>
      </c>
      <c r="B42" t="inlineStr">
        <is>
          <t>Blue Spirit</t>
        </is>
      </c>
      <c r="C42" t="inlineStr">
        <is>
          <t>First Class</t>
        </is>
      </c>
      <c r="D42" s="3" t="n">
        <v>16</v>
      </c>
      <c r="E42" s="3" t="n">
        <v>0</v>
      </c>
      <c r="F42" s="3" t="n"/>
      <c r="G42" s="3" t="n"/>
      <c r="H42" s="3" t="n"/>
      <c r="I42" s="3" t="n"/>
      <c r="J42" s="3" t="n"/>
      <c r="K42" s="3" t="n"/>
      <c r="M42" s="2">
        <f>IF(OR(F42="",G42="",D42=""),"",ROUND(F42*G42/D42,1))</f>
        <v/>
      </c>
      <c r="N42" s="2">
        <f>IF(OR(H42="",D42=""),"",ROUND(H42/D42,1))</f>
        <v/>
      </c>
      <c r="O42" s="2">
        <f>IFERROR(IF(M42="","",(M42-MIN($M$2:$M$127))/(MAX($M$2:$M$127)-MIN($M$2:$M$127))),"")</f>
        <v/>
      </c>
      <c r="P42" s="2">
        <f>IFERROR(IF(N42="","",(N42-MIN($N$2:$N$127))/(MAX($N$2:$N$127)-MIN($N$2:$N$127))),"")</f>
        <v/>
      </c>
      <c r="Q42" s="2">
        <f>IF(O42="","",IF(P42="",O42,(O42+P42)/2))</f>
        <v/>
      </c>
      <c r="R42" s="2">
        <f>IF(OR(I42="",D42=""),"",I42/D42)</f>
        <v/>
      </c>
      <c r="S42" s="2">
        <f>IFERROR(IF(R42="","",(R42-MIN($R$2:$R$127))/(MAX($R$2:$R$127)-MIN($R$2:$R$127))),"")</f>
        <v/>
      </c>
      <c r="T42" s="2">
        <f>IFERROR(IF(K42="","",(K42-MIN($K$2:$K$127))/(MAX($K$2:$K$127)-MIN($K$2:$K$127))),"")</f>
        <v/>
      </c>
      <c r="U42" s="2">
        <f>IFERROR(IF(L42="","",(L42-MIN($L$2:$L$127))/(MAX($L$2:$L$127)-MIN($L$2:$L$127))),"")</f>
        <v/>
      </c>
      <c r="V42" s="2">
        <f>IF(Q42="","",W_space*Q42+W_service*IF(S42="",0,S42)+W_cat*IF(T42="",0,T42)+W_itin*IF(U42="",0,U42))</f>
        <v/>
      </c>
      <c r="W42" s="2">
        <f>IF(OR(V42="",J42=""),"",V42/(J42/1000))</f>
        <v/>
      </c>
      <c r="X42" s="2">
        <f>IF(F42="",PenMissing,1)*IF(G42="",PenMissing,1)*IF(I42="",PenMissing,1)*IF(J42="",PenMissing,1)</f>
        <v/>
      </c>
      <c r="Y42" s="2">
        <f>IFERROR(IF(W42="","",100*(W42-MIN($W$2:$W$127))/(MAX($W$2:$W$127)-MIN($W$2:$W$127))),"")</f>
        <v/>
      </c>
      <c r="Z42" s="2">
        <f>IF(Y42="","",ROUND(Y42*X42,1))</f>
        <v/>
      </c>
      <c r="AA42" t="inlineStr">
        <is>
          <t>no_engine_data, missing_length_m, missing_beam_m, missing_speed_kn, missing_crew_count, missing_price_per_day</t>
        </is>
      </c>
    </row>
    <row r="43">
      <c r="A43" s="2">
        <f>IF(Z43="","",RANK(Z43,$Z$2:$Z$127))</f>
        <v/>
      </c>
      <c r="B43" t="inlineStr">
        <is>
          <t>Cachalote Explorer</t>
        </is>
      </c>
      <c r="C43" t="inlineStr">
        <is>
          <t>Premium</t>
        </is>
      </c>
      <c r="D43" s="3" t="n">
        <v>16</v>
      </c>
      <c r="E43" s="3" t="n">
        <v>8</v>
      </c>
      <c r="F43" s="3" t="n">
        <v>26</v>
      </c>
      <c r="G43" s="3" t="n"/>
      <c r="H43" s="3" t="n"/>
      <c r="I43" s="3" t="n">
        <v>4</v>
      </c>
      <c r="J43" s="3" t="n">
        <v>1800</v>
      </c>
      <c r="K43" s="3" t="n">
        <v>4</v>
      </c>
      <c r="L43" t="n">
        <v>66.2</v>
      </c>
      <c r="M43" s="2">
        <f>IF(OR(F43="",G43="",D43=""),"",ROUND(F43*G43/D43,1))</f>
        <v/>
      </c>
      <c r="N43" s="2">
        <f>IF(OR(H43="",D43=""),"",ROUND(H43/D43,1))</f>
        <v/>
      </c>
      <c r="O43" s="2">
        <f>IFERROR(IF(M43="","",(M43-MIN($M$2:$M$127))/(MAX($M$2:$M$127)-MIN($M$2:$M$127))),"")</f>
        <v/>
      </c>
      <c r="P43" s="2">
        <f>IFERROR(IF(N43="","",(N43-MIN($N$2:$N$127))/(MAX($N$2:$N$127)-MIN($N$2:$N$127))),"")</f>
        <v/>
      </c>
      <c r="Q43" s="2">
        <f>IF(O43="","",IF(P43="",O43,(O43+P43)/2))</f>
        <v/>
      </c>
      <c r="R43" s="2">
        <f>IF(OR(I43="",D43=""),"",I43/D43)</f>
        <v/>
      </c>
      <c r="S43" s="2">
        <f>IFERROR(IF(R43="","",(R43-MIN($R$2:$R$127))/(MAX($R$2:$R$127)-MIN($R$2:$R$127))),"")</f>
        <v/>
      </c>
      <c r="T43" s="2">
        <f>IFERROR(IF(K43="","",(K43-MIN($K$2:$K$127))/(MAX($K$2:$K$127)-MIN($K$2:$K$127))),"")</f>
        <v/>
      </c>
      <c r="U43" s="2">
        <f>IFERROR(IF(L43="","",(L43-MIN($L$2:$L$127))/(MAX($L$2:$L$127)-MIN($L$2:$L$127))),"")</f>
        <v/>
      </c>
      <c r="V43" s="2">
        <f>IF(Q43="","",W_space*Q43+W_service*IF(S43="",0,S43)+W_cat*IF(T43="",0,T43)+W_itin*IF(U43="",0,U43))</f>
        <v/>
      </c>
      <c r="W43" s="2">
        <f>IF(OR(V43="",J43=""),"",V43/(J43/1000))</f>
        <v/>
      </c>
      <c r="X43" s="2">
        <f>IF(F43="",PenMissing,1)*IF(G43="",PenMissing,1)*IF(I43="",PenMissing,1)*IF(J43="",PenMissing,1)</f>
        <v/>
      </c>
      <c r="Y43" s="2">
        <f>IFERROR(IF(W43="","",100*(W43-MIN($W$2:$W$127))/(MAX($W$2:$W$127)-MIN($W$2:$W$127))),"")</f>
        <v/>
      </c>
      <c r="Z43" s="2">
        <f>IF(Y43="","",ROUND(Y43*X43,1))</f>
        <v/>
      </c>
      <c r="AA43" t="inlineStr">
        <is>
          <t>missing_beam_m</t>
        </is>
      </c>
    </row>
    <row r="44">
      <c r="A44" s="2">
        <f>IF(Z44="","",RANK(Z44,$Z$2:$Z$127))</f>
        <v/>
      </c>
      <c r="B44" t="inlineStr">
        <is>
          <t>Calipso</t>
        </is>
      </c>
      <c r="C44" t="inlineStr">
        <is>
          <t>Premium</t>
        </is>
      </c>
      <c r="D44" s="3" t="n">
        <v>16</v>
      </c>
      <c r="E44" s="3" t="n">
        <v>9</v>
      </c>
      <c r="F44" s="3" t="n"/>
      <c r="G44" s="3" t="n">
        <v>5</v>
      </c>
      <c r="H44" s="3" t="n"/>
      <c r="I44" s="3" t="n">
        <v>11</v>
      </c>
      <c r="J44" s="3" t="n"/>
      <c r="K44" s="3" t="n">
        <v>4</v>
      </c>
      <c r="M44" s="2">
        <f>IF(OR(F44="",G44="",D44=""),"",ROUND(F44*G44/D44,1))</f>
        <v/>
      </c>
      <c r="N44" s="2">
        <f>IF(OR(H44="",D44=""),"",ROUND(H44/D44,1))</f>
        <v/>
      </c>
      <c r="O44" s="2">
        <f>IFERROR(IF(M44="","",(M44-MIN($M$2:$M$127))/(MAX($M$2:$M$127)-MIN($M$2:$M$127))),"")</f>
        <v/>
      </c>
      <c r="P44" s="2">
        <f>IFERROR(IF(N44="","",(N44-MIN($N$2:$N$127))/(MAX($N$2:$N$127)-MIN($N$2:$N$127))),"")</f>
        <v/>
      </c>
      <c r="Q44" s="2">
        <f>IF(O44="","",IF(P44="",O44,(O44+P44)/2))</f>
        <v/>
      </c>
      <c r="R44" s="2">
        <f>IF(OR(I44="",D44=""),"",I44/D44)</f>
        <v/>
      </c>
      <c r="S44" s="2">
        <f>IFERROR(IF(R44="","",(R44-MIN($R$2:$R$127))/(MAX($R$2:$R$127)-MIN($R$2:$R$127))),"")</f>
        <v/>
      </c>
      <c r="T44" s="2">
        <f>IFERROR(IF(K44="","",(K44-MIN($K$2:$K$127))/(MAX($K$2:$K$127)-MIN($K$2:$K$127))),"")</f>
        <v/>
      </c>
      <c r="U44" s="2">
        <f>IFERROR(IF(L44="","",(L44-MIN($L$2:$L$127))/(MAX($L$2:$L$127)-MIN($L$2:$L$127))),"")</f>
        <v/>
      </c>
      <c r="V44" s="2">
        <f>IF(Q44="","",W_space*Q44+W_service*IF(S44="",0,S44)+W_cat*IF(T44="",0,T44)+W_itin*IF(U44="",0,U44))</f>
        <v/>
      </c>
      <c r="W44" s="2">
        <f>IF(OR(V44="",J44=""),"",V44/(J44/1000))</f>
        <v/>
      </c>
      <c r="X44" s="2">
        <f>IF(F44="",PenMissing,1)*IF(G44="",PenMissing,1)*IF(I44="",PenMissing,1)*IF(J44="",PenMissing,1)</f>
        <v/>
      </c>
      <c r="Y44" s="2">
        <f>IFERROR(IF(W44="","",100*(W44-MIN($W$2:$W$127))/(MAX($W$2:$W$127)-MIN($W$2:$W$127))),"")</f>
        <v/>
      </c>
      <c r="Z44" s="2">
        <f>IF(Y44="","",ROUND(Y44*X44,1))</f>
        <v/>
      </c>
      <c r="AA44" t="inlineStr">
        <is>
          <t>length_ft_m_mismatch, missing_length_m, missing_price_per_day</t>
        </is>
      </c>
    </row>
    <row r="45">
      <c r="A45" s="2">
        <f>IF(Z45="","",RANK(Z45,$Z$2:$Z$127))</f>
        <v/>
      </c>
      <c r="B45" t="inlineStr">
        <is>
          <t>Camila</t>
        </is>
      </c>
      <c r="C45" t="inlineStr">
        <is>
          <t>Luxury</t>
        </is>
      </c>
      <c r="D45" s="3" t="n">
        <v>16</v>
      </c>
      <c r="E45" s="3" t="n">
        <v>8</v>
      </c>
      <c r="F45" s="3" t="n"/>
      <c r="G45" s="3" t="n"/>
      <c r="H45" s="3" t="n"/>
      <c r="I45" s="3" t="n"/>
      <c r="J45" s="3" t="n"/>
      <c r="K45" s="3" t="n"/>
      <c r="L45" t="n">
        <v>64.09999999999999</v>
      </c>
      <c r="M45" s="2">
        <f>IF(OR(F45="",G45="",D45=""),"",ROUND(F45*G45/D45,1))</f>
        <v/>
      </c>
      <c r="N45" s="2">
        <f>IF(OR(H45="",D45=""),"",ROUND(H45/D45,1))</f>
        <v/>
      </c>
      <c r="O45" s="2">
        <f>IFERROR(IF(M45="","",(M45-MIN($M$2:$M$127))/(MAX($M$2:$M$127)-MIN($M$2:$M$127))),"")</f>
        <v/>
      </c>
      <c r="P45" s="2">
        <f>IFERROR(IF(N45="","",(N45-MIN($N$2:$N$127))/(MAX($N$2:$N$127)-MIN($N$2:$N$127))),"")</f>
        <v/>
      </c>
      <c r="Q45" s="2">
        <f>IF(O45="","",IF(P45="",O45,(O45+P45)/2))</f>
        <v/>
      </c>
      <c r="R45" s="2">
        <f>IF(OR(I45="",D45=""),"",I45/D45)</f>
        <v/>
      </c>
      <c r="S45" s="2">
        <f>IFERROR(IF(R45="","",(R45-MIN($R$2:$R$127))/(MAX($R$2:$R$127)-MIN($R$2:$R$127))),"")</f>
        <v/>
      </c>
      <c r="T45" s="2">
        <f>IFERROR(IF(K45="","",(K45-MIN($K$2:$K$127))/(MAX($K$2:$K$127)-MIN($K$2:$K$127))),"")</f>
        <v/>
      </c>
      <c r="U45" s="2">
        <f>IFERROR(IF(L45="","",(L45-MIN($L$2:$L$127))/(MAX($L$2:$L$127)-MIN($L$2:$L$127))),"")</f>
        <v/>
      </c>
      <c r="V45" s="2">
        <f>IF(Q45="","",W_space*Q45+W_service*IF(S45="",0,S45)+W_cat*IF(T45="",0,T45)+W_itin*IF(U45="",0,U45))</f>
        <v/>
      </c>
      <c r="W45" s="2">
        <f>IF(OR(V45="",J45=""),"",V45/(J45/1000))</f>
        <v/>
      </c>
      <c r="X45" s="2">
        <f>IF(F45="",PenMissing,1)*IF(G45="",PenMissing,1)*IF(I45="",PenMissing,1)*IF(J45="",PenMissing,1)</f>
        <v/>
      </c>
      <c r="Y45" s="2">
        <f>IFERROR(IF(W45="","",100*(W45-MIN($W$2:$W$127))/(MAX($W$2:$W$127)-MIN($W$2:$W$127))),"")</f>
        <v/>
      </c>
      <c r="Z45" s="2">
        <f>IF(Y45="","",ROUND(Y45*X45,1))</f>
        <v/>
      </c>
      <c r="AA45" t="inlineStr">
        <is>
          <t>no_engine_data, missing_length_m, missing_beam_m, missing_speed_kn, missing_crew_count, missing_price_per_day</t>
        </is>
      </c>
    </row>
    <row r="46">
      <c r="A46" s="2">
        <f>IF(Z46="","",RANK(Z46,$Z$2:$Z$127))</f>
        <v/>
      </c>
      <c r="B46" t="inlineStr">
        <is>
          <t>Carina</t>
        </is>
      </c>
      <c r="C46" t="inlineStr">
        <is>
          <t>Tourist Superior</t>
        </is>
      </c>
      <c r="D46" s="3" t="n">
        <v>16</v>
      </c>
      <c r="E46" s="3" t="n">
        <v>8</v>
      </c>
      <c r="F46" s="3" t="n"/>
      <c r="G46" s="3" t="n"/>
      <c r="H46" s="3" t="n"/>
      <c r="I46" s="3" t="n"/>
      <c r="J46" s="3" t="n"/>
      <c r="K46" s="3" t="n"/>
      <c r="L46" t="n">
        <v>62.4</v>
      </c>
      <c r="M46" s="2">
        <f>IF(OR(F46="",G46="",D46=""),"",ROUND(F46*G46/D46,1))</f>
        <v/>
      </c>
      <c r="N46" s="2">
        <f>IF(OR(H46="",D46=""),"",ROUND(H46/D46,1))</f>
        <v/>
      </c>
      <c r="O46" s="2">
        <f>IFERROR(IF(M46="","",(M46-MIN($M$2:$M$127))/(MAX($M$2:$M$127)-MIN($M$2:$M$127))),"")</f>
        <v/>
      </c>
      <c r="P46" s="2">
        <f>IFERROR(IF(N46="","",(N46-MIN($N$2:$N$127))/(MAX($N$2:$N$127)-MIN($N$2:$N$127))),"")</f>
        <v/>
      </c>
      <c r="Q46" s="2">
        <f>IF(O46="","",IF(P46="",O46,(O46+P46)/2))</f>
        <v/>
      </c>
      <c r="R46" s="2">
        <f>IF(OR(I46="",D46=""),"",I46/D46)</f>
        <v/>
      </c>
      <c r="S46" s="2">
        <f>IFERROR(IF(R46="","",(R46-MIN($R$2:$R$127))/(MAX($R$2:$R$127)-MIN($R$2:$R$127))),"")</f>
        <v/>
      </c>
      <c r="T46" s="2">
        <f>IFERROR(IF(K46="","",(K46-MIN($K$2:$K$127))/(MAX($K$2:$K$127)-MIN($K$2:$K$127))),"")</f>
        <v/>
      </c>
      <c r="U46" s="2">
        <f>IFERROR(IF(L46="","",(L46-MIN($L$2:$L$127))/(MAX($L$2:$L$127)-MIN($L$2:$L$127))),"")</f>
        <v/>
      </c>
      <c r="V46" s="2">
        <f>IF(Q46="","",W_space*Q46+W_service*IF(S46="",0,S46)+W_cat*IF(T46="",0,T46)+W_itin*IF(U46="",0,U46))</f>
        <v/>
      </c>
      <c r="W46" s="2">
        <f>IF(OR(V46="",J46=""),"",V46/(J46/1000))</f>
        <v/>
      </c>
      <c r="X46" s="2">
        <f>IF(F46="",PenMissing,1)*IF(G46="",PenMissing,1)*IF(I46="",PenMissing,1)*IF(J46="",PenMissing,1)</f>
        <v/>
      </c>
      <c r="Y46" s="2">
        <f>IFERROR(IF(W46="","",100*(W46-MIN($W$2:$W$127))/(MAX($W$2:$W$127)-MIN($W$2:$W$127))),"")</f>
        <v/>
      </c>
      <c r="Z46" s="2">
        <f>IF(Y46="","",ROUND(Y46*X46,1))</f>
        <v/>
      </c>
      <c r="AA46" t="inlineStr">
        <is>
          <t>no_engine_data, missing_length_m, missing_beam_m, missing_speed_kn, missing_crew_count, missing_price_per_day</t>
        </is>
      </c>
    </row>
    <row r="47">
      <c r="A47" s="2">
        <f>IF(Z47="","",RANK(Z47,$Z$2:$Z$127))</f>
        <v/>
      </c>
      <c r="B47" t="inlineStr">
        <is>
          <t>Celebrity Flora</t>
        </is>
      </c>
      <c r="C47" t="inlineStr">
        <is>
          <t>Luxury</t>
        </is>
      </c>
      <c r="D47" s="3" t="n">
        <v>100</v>
      </c>
      <c r="E47" s="3" t="n">
        <v>61</v>
      </c>
      <c r="F47" s="3" t="n">
        <v>101.5</v>
      </c>
      <c r="G47" s="3" t="n">
        <v>17</v>
      </c>
      <c r="H47" s="3" t="n"/>
      <c r="I47" s="3" t="n">
        <v>81</v>
      </c>
      <c r="J47" s="3" t="n"/>
      <c r="K47" s="3" t="n">
        <v>5</v>
      </c>
      <c r="M47" s="2">
        <f>IF(OR(F47="",G47="",D47=""),"",ROUND(F47*G47/D47,1))</f>
        <v/>
      </c>
      <c r="N47" s="2">
        <f>IF(OR(H47="",D47=""),"",ROUND(H47/D47,1))</f>
        <v/>
      </c>
      <c r="O47" s="2">
        <f>IFERROR(IF(M47="","",(M47-MIN($M$2:$M$127))/(MAX($M$2:$M$127)-MIN($M$2:$M$127))),"")</f>
        <v/>
      </c>
      <c r="P47" s="2">
        <f>IFERROR(IF(N47="","",(N47-MIN($N$2:$N$127))/(MAX($N$2:$N$127)-MIN($N$2:$N$127))),"")</f>
        <v/>
      </c>
      <c r="Q47" s="2">
        <f>IF(O47="","",IF(P47="",O47,(O47+P47)/2))</f>
        <v/>
      </c>
      <c r="R47" s="2">
        <f>IF(OR(I47="",D47=""),"",I47/D47)</f>
        <v/>
      </c>
      <c r="S47" s="2">
        <f>IFERROR(IF(R47="","",(R47-MIN($R$2:$R$127))/(MAX($R$2:$R$127)-MIN($R$2:$R$127))),"")</f>
        <v/>
      </c>
      <c r="T47" s="2">
        <f>IFERROR(IF(K47="","",(K47-MIN($K$2:$K$127))/(MAX($K$2:$K$127)-MIN($K$2:$K$127))),"")</f>
        <v/>
      </c>
      <c r="U47" s="2">
        <f>IFERROR(IF(L47="","",(L47-MIN($L$2:$L$127))/(MAX($L$2:$L$127)-MIN($L$2:$L$127))),"")</f>
        <v/>
      </c>
      <c r="V47" s="2">
        <f>IF(Q47="","",W_space*Q47+W_service*IF(S47="",0,S47)+W_cat*IF(T47="",0,T47)+W_itin*IF(U47="",0,U47))</f>
        <v/>
      </c>
      <c r="W47" s="2">
        <f>IF(OR(V47="",J47=""),"",V47/(J47/1000))</f>
        <v/>
      </c>
      <c r="X47" s="2">
        <f>IF(F47="",PenMissing,1)*IF(G47="",PenMissing,1)*IF(I47="",PenMissing,1)*IF(J47="",PenMissing,1)</f>
        <v/>
      </c>
      <c r="Y47" s="2">
        <f>IFERROR(IF(W47="","",100*(W47-MIN($W$2:$W$127))/(MAX($W$2:$W$127)-MIN($W$2:$W$127))),"")</f>
        <v/>
      </c>
      <c r="Z47" s="2">
        <f>IF(Y47="","",ROUND(Y47*X47,1))</f>
        <v/>
      </c>
      <c r="AA47" t="inlineStr">
        <is>
          <t>length_ft_m_mismatch, missing_price_per_day</t>
        </is>
      </c>
    </row>
    <row r="48">
      <c r="A48" s="2">
        <f>IF(Z48="","",RANK(Z48,$Z$2:$Z$127))</f>
        <v/>
      </c>
      <c r="B48" t="inlineStr">
        <is>
          <t>Celebrity Xpedition</t>
        </is>
      </c>
      <c r="C48" t="inlineStr">
        <is>
          <t>Luxury</t>
        </is>
      </c>
      <c r="D48" s="3" t="n">
        <v>48</v>
      </c>
      <c r="E48" s="3" t="n">
        <v>39</v>
      </c>
      <c r="F48" s="3" t="n">
        <v>90.2</v>
      </c>
      <c r="G48" s="3" t="n"/>
      <c r="H48" s="3" t="n"/>
      <c r="I48" s="3" t="n">
        <v>68</v>
      </c>
      <c r="J48" s="3" t="n"/>
      <c r="K48" s="3" t="n">
        <v>5</v>
      </c>
      <c r="M48" s="2">
        <f>IF(OR(F48="",G48="",D48=""),"",ROUND(F48*G48/D48,1))</f>
        <v/>
      </c>
      <c r="N48" s="2">
        <f>IF(OR(H48="",D48=""),"",ROUND(H48/D48,1))</f>
        <v/>
      </c>
      <c r="O48" s="2">
        <f>IFERROR(IF(M48="","",(M48-MIN($M$2:$M$127))/(MAX($M$2:$M$127)-MIN($M$2:$M$127))),"")</f>
        <v/>
      </c>
      <c r="P48" s="2">
        <f>IFERROR(IF(N48="","",(N48-MIN($N$2:$N$127))/(MAX($N$2:$N$127)-MIN($N$2:$N$127))),"")</f>
        <v/>
      </c>
      <c r="Q48" s="2">
        <f>IF(O48="","",IF(P48="",O48,(O48+P48)/2))</f>
        <v/>
      </c>
      <c r="R48" s="2">
        <f>IF(OR(I48="",D48=""),"",I48/D48)</f>
        <v/>
      </c>
      <c r="S48" s="2">
        <f>IFERROR(IF(R48="","",(R48-MIN($R$2:$R$127))/(MAX($R$2:$R$127)-MIN($R$2:$R$127))),"")</f>
        <v/>
      </c>
      <c r="T48" s="2">
        <f>IFERROR(IF(K48="","",(K48-MIN($K$2:$K$127))/(MAX($K$2:$K$127)-MIN($K$2:$K$127))),"")</f>
        <v/>
      </c>
      <c r="U48" s="2">
        <f>IFERROR(IF(L48="","",(L48-MIN($L$2:$L$127))/(MAX($L$2:$L$127)-MIN($L$2:$L$127))),"")</f>
        <v/>
      </c>
      <c r="V48" s="2">
        <f>IF(Q48="","",W_space*Q48+W_service*IF(S48="",0,S48)+W_cat*IF(T48="",0,T48)+W_itin*IF(U48="",0,U48))</f>
        <v/>
      </c>
      <c r="W48" s="2">
        <f>IF(OR(V48="",J48=""),"",V48/(J48/1000))</f>
        <v/>
      </c>
      <c r="X48" s="2">
        <f>IF(F48="",PenMissing,1)*IF(G48="",PenMissing,1)*IF(I48="",PenMissing,1)*IF(J48="",PenMissing,1)</f>
        <v/>
      </c>
      <c r="Y48" s="2">
        <f>IFERROR(IF(W48="","",100*(W48-MIN($W$2:$W$127))/(MAX($W$2:$W$127)-MIN($W$2:$W$127))),"")</f>
        <v/>
      </c>
      <c r="Z48" s="2">
        <f>IF(Y48="","",ROUND(Y48*X48,1))</f>
        <v/>
      </c>
      <c r="AA48" t="inlineStr">
        <is>
          <t>no_engine_data, missing_beam_m, missing_price_per_day</t>
        </is>
      </c>
    </row>
    <row r="49">
      <c r="A49" s="2">
        <f>IF(Z49="","",RANK(Z49,$Z$2:$Z$127))</f>
        <v/>
      </c>
      <c r="B49" t="inlineStr">
        <is>
          <t>Coral I</t>
        </is>
      </c>
      <c r="C49" t="inlineStr">
        <is>
          <t>First Class</t>
        </is>
      </c>
      <c r="D49" s="3" t="n">
        <v>20</v>
      </c>
      <c r="E49" s="3" t="n">
        <v>18</v>
      </c>
      <c r="F49" s="3" t="n"/>
      <c r="G49" s="3" t="n"/>
      <c r="H49" s="3" t="n"/>
      <c r="I49" s="3" t="n"/>
      <c r="J49" s="3" t="n"/>
      <c r="K49" s="3" t="n"/>
      <c r="L49" t="n">
        <v>60.7</v>
      </c>
      <c r="M49" s="2">
        <f>IF(OR(F49="",G49="",D49=""),"",ROUND(F49*G49/D49,1))</f>
        <v/>
      </c>
      <c r="N49" s="2">
        <f>IF(OR(H49="",D49=""),"",ROUND(H49/D49,1))</f>
        <v/>
      </c>
      <c r="O49" s="2">
        <f>IFERROR(IF(M49="","",(M49-MIN($M$2:$M$127))/(MAX($M$2:$M$127)-MIN($M$2:$M$127))),"")</f>
        <v/>
      </c>
      <c r="P49" s="2">
        <f>IFERROR(IF(N49="","",(N49-MIN($N$2:$N$127))/(MAX($N$2:$N$127)-MIN($N$2:$N$127))),"")</f>
        <v/>
      </c>
      <c r="Q49" s="2">
        <f>IF(O49="","",IF(P49="",O49,(O49+P49)/2))</f>
        <v/>
      </c>
      <c r="R49" s="2">
        <f>IF(OR(I49="",D49=""),"",I49/D49)</f>
        <v/>
      </c>
      <c r="S49" s="2">
        <f>IFERROR(IF(R49="","",(R49-MIN($R$2:$R$127))/(MAX($R$2:$R$127)-MIN($R$2:$R$127))),"")</f>
        <v/>
      </c>
      <c r="T49" s="2">
        <f>IFERROR(IF(K49="","",(K49-MIN($K$2:$K$127))/(MAX($K$2:$K$127)-MIN($K$2:$K$127))),"")</f>
        <v/>
      </c>
      <c r="U49" s="2">
        <f>IFERROR(IF(L49="","",(L49-MIN($L$2:$L$127))/(MAX($L$2:$L$127)-MIN($L$2:$L$127))),"")</f>
        <v/>
      </c>
      <c r="V49" s="2">
        <f>IF(Q49="","",W_space*Q49+W_service*IF(S49="",0,S49)+W_cat*IF(T49="",0,T49)+W_itin*IF(U49="",0,U49))</f>
        <v/>
      </c>
      <c r="W49" s="2">
        <f>IF(OR(V49="",J49=""),"",V49/(J49/1000))</f>
        <v/>
      </c>
      <c r="X49" s="2">
        <f>IF(F49="",PenMissing,1)*IF(G49="",PenMissing,1)*IF(I49="",PenMissing,1)*IF(J49="",PenMissing,1)</f>
        <v/>
      </c>
      <c r="Y49" s="2">
        <f>IFERROR(IF(W49="","",100*(W49-MIN($W$2:$W$127))/(MAX($W$2:$W$127)-MIN($W$2:$W$127))),"")</f>
        <v/>
      </c>
      <c r="Z49" s="2">
        <f>IF(Y49="","",ROUND(Y49*X49,1))</f>
        <v/>
      </c>
      <c r="AA49" t="inlineStr">
        <is>
          <t>no_engine_data, missing_length_m, missing_beam_m, missing_speed_kn, missing_crew_count, missing_price_per_day</t>
        </is>
      </c>
    </row>
    <row r="50">
      <c r="A50" s="2">
        <f>IF(Z50="","",RANK(Z50,$Z$2:$Z$127))</f>
        <v/>
      </c>
      <c r="B50" t="inlineStr">
        <is>
          <t>Coral II</t>
        </is>
      </c>
      <c r="C50" t="inlineStr">
        <is>
          <t>First Class</t>
        </is>
      </c>
      <c r="D50" s="3" t="n">
        <v>36</v>
      </c>
      <c r="E50" s="3" t="n">
        <v>29</v>
      </c>
      <c r="F50" s="3" t="n"/>
      <c r="G50" s="3" t="n"/>
      <c r="H50" s="3" t="n"/>
      <c r="I50" s="3" t="n"/>
      <c r="J50" s="3" t="n"/>
      <c r="K50" s="3" t="n"/>
      <c r="L50" t="n">
        <v>60.8</v>
      </c>
      <c r="M50" s="2">
        <f>IF(OR(F50="",G50="",D50=""),"",ROUND(F50*G50/D50,1))</f>
        <v/>
      </c>
      <c r="N50" s="2">
        <f>IF(OR(H50="",D50=""),"",ROUND(H50/D50,1))</f>
        <v/>
      </c>
      <c r="O50" s="2">
        <f>IFERROR(IF(M50="","",(M50-MIN($M$2:$M$127))/(MAX($M$2:$M$127)-MIN($M$2:$M$127))),"")</f>
        <v/>
      </c>
      <c r="P50" s="2">
        <f>IFERROR(IF(N50="","",(N50-MIN($N$2:$N$127))/(MAX($N$2:$N$127)-MIN($N$2:$N$127))),"")</f>
        <v/>
      </c>
      <c r="Q50" s="2">
        <f>IF(O50="","",IF(P50="",O50,(O50+P50)/2))</f>
        <v/>
      </c>
      <c r="R50" s="2">
        <f>IF(OR(I50="",D50=""),"",I50/D50)</f>
        <v/>
      </c>
      <c r="S50" s="2">
        <f>IFERROR(IF(R50="","",(R50-MIN($R$2:$R$127))/(MAX($R$2:$R$127)-MIN($R$2:$R$127))),"")</f>
        <v/>
      </c>
      <c r="T50" s="2">
        <f>IFERROR(IF(K50="","",(K50-MIN($K$2:$K$127))/(MAX($K$2:$K$127)-MIN($K$2:$K$127))),"")</f>
        <v/>
      </c>
      <c r="U50" s="2">
        <f>IFERROR(IF(L50="","",(L50-MIN($L$2:$L$127))/(MAX($L$2:$L$127)-MIN($L$2:$L$127))),"")</f>
        <v/>
      </c>
      <c r="V50" s="2">
        <f>IF(Q50="","",W_space*Q50+W_service*IF(S50="",0,S50)+W_cat*IF(T50="",0,T50)+W_itin*IF(U50="",0,U50))</f>
        <v/>
      </c>
      <c r="W50" s="2">
        <f>IF(OR(V50="",J50=""),"",V50/(J50/1000))</f>
        <v/>
      </c>
      <c r="X50" s="2">
        <f>IF(F50="",PenMissing,1)*IF(G50="",PenMissing,1)*IF(I50="",PenMissing,1)*IF(J50="",PenMissing,1)</f>
        <v/>
      </c>
      <c r="Y50" s="2">
        <f>IFERROR(IF(W50="","",100*(W50-MIN($W$2:$W$127))/(MAX($W$2:$W$127)-MIN($W$2:$W$127))),"")</f>
        <v/>
      </c>
      <c r="Z50" s="2">
        <f>IF(Y50="","",ROUND(Y50*X50,1))</f>
        <v/>
      </c>
      <c r="AA50" t="inlineStr">
        <is>
          <t>no_engine_data, missing_length_m, missing_beam_m, missing_speed_kn, missing_crew_count, missing_price_per_day</t>
        </is>
      </c>
    </row>
    <row r="51">
      <c r="A51" s="2">
        <f>IF(Z51="","",RANK(Z51,$Z$2:$Z$127))</f>
        <v/>
      </c>
      <c r="B51" t="inlineStr">
        <is>
          <t>Coral I and II</t>
        </is>
      </c>
      <c r="C51" t="inlineStr">
        <is>
          <t>Premium</t>
        </is>
      </c>
      <c r="D51" s="3" t="n">
        <v>36</v>
      </c>
      <c r="E51" s="3" t="n"/>
      <c r="F51" s="3" t="n">
        <v>50</v>
      </c>
      <c r="G51" s="3" t="n"/>
      <c r="H51" s="3" t="n"/>
      <c r="I51" s="3" t="n"/>
      <c r="J51" s="3" t="n"/>
      <c r="K51" s="3" t="n"/>
      <c r="M51" s="2">
        <f>IF(OR(F51="",G51="",D51=""),"",ROUND(F51*G51/D51,1))</f>
        <v/>
      </c>
      <c r="N51" s="2">
        <f>IF(OR(H51="",D51=""),"",ROUND(H51/D51,1))</f>
        <v/>
      </c>
      <c r="O51" s="2">
        <f>IFERROR(IF(M51="","",(M51-MIN($M$2:$M$127))/(MAX($M$2:$M$127)-MIN($M$2:$M$127))),"")</f>
        <v/>
      </c>
      <c r="P51" s="2">
        <f>IFERROR(IF(N51="","",(N51-MIN($N$2:$N$127))/(MAX($N$2:$N$127)-MIN($N$2:$N$127))),"")</f>
        <v/>
      </c>
      <c r="Q51" s="2">
        <f>IF(O51="","",IF(P51="",O51,(O51+P51)/2))</f>
        <v/>
      </c>
      <c r="R51" s="2">
        <f>IF(OR(I51="",D51=""),"",I51/D51)</f>
        <v/>
      </c>
      <c r="S51" s="2">
        <f>IFERROR(IF(R51="","",(R51-MIN($R$2:$R$127))/(MAX($R$2:$R$127)-MIN($R$2:$R$127))),"")</f>
        <v/>
      </c>
      <c r="T51" s="2">
        <f>IFERROR(IF(K51="","",(K51-MIN($K$2:$K$127))/(MAX($K$2:$K$127)-MIN($K$2:$K$127))),"")</f>
        <v/>
      </c>
      <c r="U51" s="2">
        <f>IFERROR(IF(L51="","",(L51-MIN($L$2:$L$127))/(MAX($L$2:$L$127)-MIN($L$2:$L$127))),"")</f>
        <v/>
      </c>
      <c r="V51" s="2">
        <f>IF(Q51="","",W_space*Q51+W_service*IF(S51="",0,S51)+W_cat*IF(T51="",0,T51)+W_itin*IF(U51="",0,U51))</f>
        <v/>
      </c>
      <c r="W51" s="2">
        <f>IF(OR(V51="",J51=""),"",V51/(J51/1000))</f>
        <v/>
      </c>
      <c r="X51" s="2">
        <f>IF(F51="",PenMissing,1)*IF(G51="",PenMissing,1)*IF(I51="",PenMissing,1)*IF(J51="",PenMissing,1)</f>
        <v/>
      </c>
      <c r="Y51" s="2">
        <f>IFERROR(IF(W51="","",100*(W51-MIN($W$2:$W$127))/(MAX($W$2:$W$127)-MIN($W$2:$W$127))),"")</f>
        <v/>
      </c>
      <c r="Z51" s="2">
        <f>IF(Y51="","",ROUND(Y51*X51,1))</f>
        <v/>
      </c>
      <c r="AA51" t="inlineStr">
        <is>
          <t>no_engine_data, missing_beam_m, missing_crew_count, missing_price_per_day</t>
        </is>
      </c>
    </row>
    <row r="52">
      <c r="A52" s="2">
        <f>IF(Z52="","",RANK(Z52,$Z$2:$Z$127))</f>
        <v/>
      </c>
      <c r="B52" t="inlineStr">
        <is>
          <t>Cormorant</t>
        </is>
      </c>
      <c r="C52" t="inlineStr">
        <is>
          <t>Luxury</t>
        </is>
      </c>
      <c r="D52" s="3" t="n">
        <v>16</v>
      </c>
      <c r="E52" s="3" t="n">
        <v>9</v>
      </c>
      <c r="F52" s="3" t="n">
        <v>33</v>
      </c>
      <c r="G52" s="3" t="n">
        <v>12</v>
      </c>
      <c r="H52" s="3" t="n"/>
      <c r="I52" s="3" t="n"/>
      <c r="J52" s="3" t="n"/>
      <c r="K52" s="3" t="n"/>
      <c r="L52" t="n">
        <v>61.9</v>
      </c>
      <c r="M52" s="2">
        <f>IF(OR(F52="",G52="",D52=""),"",ROUND(F52*G52/D52,1))</f>
        <v/>
      </c>
      <c r="N52" s="2">
        <f>IF(OR(H52="",D52=""),"",ROUND(H52/D52,1))</f>
        <v/>
      </c>
      <c r="O52" s="2">
        <f>IFERROR(IF(M52="","",(M52-MIN($M$2:$M$127))/(MAX($M$2:$M$127)-MIN($M$2:$M$127))),"")</f>
        <v/>
      </c>
      <c r="P52" s="2">
        <f>IFERROR(IF(N52="","",(N52-MIN($N$2:$N$127))/(MAX($N$2:$N$127)-MIN($N$2:$N$127))),"")</f>
        <v/>
      </c>
      <c r="Q52" s="2">
        <f>IF(O52="","",IF(P52="",O52,(O52+P52)/2))</f>
        <v/>
      </c>
      <c r="R52" s="2">
        <f>IF(OR(I52="",D52=""),"",I52/D52)</f>
        <v/>
      </c>
      <c r="S52" s="2">
        <f>IFERROR(IF(R52="","",(R52-MIN($R$2:$R$127))/(MAX($R$2:$R$127)-MIN($R$2:$R$127))),"")</f>
        <v/>
      </c>
      <c r="T52" s="2">
        <f>IFERROR(IF(K52="","",(K52-MIN($K$2:$K$127))/(MAX($K$2:$K$127)-MIN($K$2:$K$127))),"")</f>
        <v/>
      </c>
      <c r="U52" s="2">
        <f>IFERROR(IF(L52="","",(L52-MIN($L$2:$L$127))/(MAX($L$2:$L$127)-MIN($L$2:$L$127))),"")</f>
        <v/>
      </c>
      <c r="V52" s="2">
        <f>IF(Q52="","",W_space*Q52+W_service*IF(S52="",0,S52)+W_cat*IF(T52="",0,T52)+W_itin*IF(U52="",0,U52))</f>
        <v/>
      </c>
      <c r="W52" s="2">
        <f>IF(OR(V52="",J52=""),"",V52/(J52/1000))</f>
        <v/>
      </c>
      <c r="X52" s="2">
        <f>IF(F52="",PenMissing,1)*IF(G52="",PenMissing,1)*IF(I52="",PenMissing,1)*IF(J52="",PenMissing,1)</f>
        <v/>
      </c>
      <c r="Y52" s="2">
        <f>IFERROR(IF(W52="","",100*(W52-MIN($W$2:$W$127))/(MAX($W$2:$W$127)-MIN($W$2:$W$127))),"")</f>
        <v/>
      </c>
      <c r="Z52" s="2">
        <f>IF(Y52="","",ROUND(Y52*X52,1))</f>
        <v/>
      </c>
      <c r="AA52" t="inlineStr">
        <is>
          <t>no_engine_data, missing_crew_count, missing_price_per_day</t>
        </is>
      </c>
    </row>
    <row r="53">
      <c r="A53" s="2">
        <f>IF(Z53="","",RANK(Z53,$Z$2:$Z$127))</f>
        <v/>
      </c>
      <c r="B53" t="inlineStr">
        <is>
          <t>Cormorant II</t>
        </is>
      </c>
      <c r="C53" t="inlineStr">
        <is>
          <t>Luxury</t>
        </is>
      </c>
      <c r="D53" s="3" t="n">
        <v>16</v>
      </c>
      <c r="E53" s="3" t="n">
        <v>9</v>
      </c>
      <c r="F53" s="3" t="n">
        <v>48</v>
      </c>
      <c r="G53" s="3" t="n">
        <v>14</v>
      </c>
      <c r="H53" s="3" t="n"/>
      <c r="I53" s="3" t="n"/>
      <c r="J53" s="3" t="n"/>
      <c r="K53" s="3" t="n"/>
      <c r="M53" s="2">
        <f>IF(OR(F53="",G53="",D53=""),"",ROUND(F53*G53/D53,1))</f>
        <v/>
      </c>
      <c r="N53" s="2">
        <f>IF(OR(H53="",D53=""),"",ROUND(H53/D53,1))</f>
        <v/>
      </c>
      <c r="O53" s="2">
        <f>IFERROR(IF(M53="","",(M53-MIN($M$2:$M$127))/(MAX($M$2:$M$127)-MIN($M$2:$M$127))),"")</f>
        <v/>
      </c>
      <c r="P53" s="2">
        <f>IFERROR(IF(N53="","",(N53-MIN($N$2:$N$127))/(MAX($N$2:$N$127)-MIN($N$2:$N$127))),"")</f>
        <v/>
      </c>
      <c r="Q53" s="2">
        <f>IF(O53="","",IF(P53="",O53,(O53+P53)/2))</f>
        <v/>
      </c>
      <c r="R53" s="2">
        <f>IF(OR(I53="",D53=""),"",I53/D53)</f>
        <v/>
      </c>
      <c r="S53" s="2">
        <f>IFERROR(IF(R53="","",(R53-MIN($R$2:$R$127))/(MAX($R$2:$R$127)-MIN($R$2:$R$127))),"")</f>
        <v/>
      </c>
      <c r="T53" s="2">
        <f>IFERROR(IF(K53="","",(K53-MIN($K$2:$K$127))/(MAX($K$2:$K$127)-MIN($K$2:$K$127))),"")</f>
        <v/>
      </c>
      <c r="U53" s="2">
        <f>IFERROR(IF(L53="","",(L53-MIN($L$2:$L$127))/(MAX($L$2:$L$127)-MIN($L$2:$L$127))),"")</f>
        <v/>
      </c>
      <c r="V53" s="2">
        <f>IF(Q53="","",W_space*Q53+W_service*IF(S53="",0,S53)+W_cat*IF(T53="",0,T53)+W_itin*IF(U53="",0,U53))</f>
        <v/>
      </c>
      <c r="W53" s="2">
        <f>IF(OR(V53="",J53=""),"",V53/(J53/1000))</f>
        <v/>
      </c>
      <c r="X53" s="2">
        <f>IF(F53="",PenMissing,1)*IF(G53="",PenMissing,1)*IF(I53="",PenMissing,1)*IF(J53="",PenMissing,1)</f>
        <v/>
      </c>
      <c r="Y53" s="2">
        <f>IFERROR(IF(W53="","",100*(W53-MIN($W$2:$W$127))/(MAX($W$2:$W$127)-MIN($W$2:$W$127))),"")</f>
        <v/>
      </c>
      <c r="Z53" s="2">
        <f>IF(Y53="","",ROUND(Y53*X53,1))</f>
        <v/>
      </c>
      <c r="AA53" t="inlineStr">
        <is>
          <t>no_engine_data, missing_crew_count, missing_price_per_day</t>
        </is>
      </c>
    </row>
    <row r="54">
      <c r="A54" s="2">
        <f>IF(Z54="","",RANK(Z54,$Z$2:$Z$127))</f>
        <v/>
      </c>
      <c r="B54" t="inlineStr">
        <is>
          <t>Danubio Azul Diving</t>
        </is>
      </c>
      <c r="C54" t="inlineStr">
        <is>
          <t>Budget</t>
        </is>
      </c>
      <c r="D54" s="3" t="n">
        <v>16</v>
      </c>
      <c r="E54" s="3" t="n">
        <v>9</v>
      </c>
      <c r="F54" s="3" t="n">
        <v>21.6</v>
      </c>
      <c r="G54" s="3" t="n"/>
      <c r="H54" s="3" t="n"/>
      <c r="I54" s="3" t="n">
        <v>7</v>
      </c>
      <c r="J54" s="3" t="n">
        <v>4590</v>
      </c>
      <c r="K54" s="3" t="n">
        <v>2</v>
      </c>
      <c r="M54" s="2">
        <f>IF(OR(F54="",G54="",D54=""),"",ROUND(F54*G54/D54,1))</f>
        <v/>
      </c>
      <c r="N54" s="2">
        <f>IF(OR(H54="",D54=""),"",ROUND(H54/D54,1))</f>
        <v/>
      </c>
      <c r="O54" s="2">
        <f>IFERROR(IF(M54="","",(M54-MIN($M$2:$M$127))/(MAX($M$2:$M$127)-MIN($M$2:$M$127))),"")</f>
        <v/>
      </c>
      <c r="P54" s="2">
        <f>IFERROR(IF(N54="","",(N54-MIN($N$2:$N$127))/(MAX($N$2:$N$127)-MIN($N$2:$N$127))),"")</f>
        <v/>
      </c>
      <c r="Q54" s="2">
        <f>IF(O54="","",IF(P54="",O54,(O54+P54)/2))</f>
        <v/>
      </c>
      <c r="R54" s="2">
        <f>IF(OR(I54="",D54=""),"",I54/D54)</f>
        <v/>
      </c>
      <c r="S54" s="2">
        <f>IFERROR(IF(R54="","",(R54-MIN($R$2:$R$127))/(MAX($R$2:$R$127)-MIN($R$2:$R$127))),"")</f>
        <v/>
      </c>
      <c r="T54" s="2">
        <f>IFERROR(IF(K54="","",(K54-MIN($K$2:$K$127))/(MAX($K$2:$K$127)-MIN($K$2:$K$127))),"")</f>
        <v/>
      </c>
      <c r="U54" s="2">
        <f>IFERROR(IF(L54="","",(L54-MIN($L$2:$L$127))/(MAX($L$2:$L$127)-MIN($L$2:$L$127))),"")</f>
        <v/>
      </c>
      <c r="V54" s="2">
        <f>IF(Q54="","",W_space*Q54+W_service*IF(S54="",0,S54)+W_cat*IF(T54="",0,T54)+W_itin*IF(U54="",0,U54))</f>
        <v/>
      </c>
      <c r="W54" s="2">
        <f>IF(OR(V54="",J54=""),"",V54/(J54/1000))</f>
        <v/>
      </c>
      <c r="X54" s="2">
        <f>IF(F54="",PenMissing,1)*IF(G54="",PenMissing,1)*IF(I54="",PenMissing,1)*IF(J54="",PenMissing,1)</f>
        <v/>
      </c>
      <c r="Y54" s="2">
        <f>IFERROR(IF(W54="","",100*(W54-MIN($W$2:$W$127))/(MAX($W$2:$W$127)-MIN($W$2:$W$127))),"")</f>
        <v/>
      </c>
      <c r="Z54" s="2">
        <f>IF(Y54="","",ROUND(Y54*X54,1))</f>
        <v/>
      </c>
      <c r="AA54" t="inlineStr">
        <is>
          <t>no_engine_data, missing_beam_m</t>
        </is>
      </c>
    </row>
    <row r="55">
      <c r="A55" s="2">
        <f>IF(Z55="","",RANK(Z55,$Z$2:$Z$127))</f>
        <v/>
      </c>
      <c r="B55" t="inlineStr">
        <is>
          <t>Danubio Azul Naturalist</t>
        </is>
      </c>
      <c r="D55" s="3" t="n">
        <v>16</v>
      </c>
      <c r="E55" s="3" t="n">
        <v>9</v>
      </c>
      <c r="F55" s="3" t="n">
        <v>21.6</v>
      </c>
      <c r="G55" s="3" t="n"/>
      <c r="H55" s="3" t="n"/>
      <c r="I55" s="3" t="n">
        <v>7</v>
      </c>
      <c r="J55" s="3" t="n">
        <v>4280</v>
      </c>
      <c r="K55" s="3" t="n">
        <v>2</v>
      </c>
      <c r="M55" s="2">
        <f>IF(OR(F55="",G55="",D55=""),"",ROUND(F55*G55/D55,1))</f>
        <v/>
      </c>
      <c r="N55" s="2">
        <f>IF(OR(H55="",D55=""),"",ROUND(H55/D55,1))</f>
        <v/>
      </c>
      <c r="O55" s="2">
        <f>IFERROR(IF(M55="","",(M55-MIN($M$2:$M$127))/(MAX($M$2:$M$127)-MIN($M$2:$M$127))),"")</f>
        <v/>
      </c>
      <c r="P55" s="2">
        <f>IFERROR(IF(N55="","",(N55-MIN($N$2:$N$127))/(MAX($N$2:$N$127)-MIN($N$2:$N$127))),"")</f>
        <v/>
      </c>
      <c r="Q55" s="2">
        <f>IF(O55="","",IF(P55="",O55,(O55+P55)/2))</f>
        <v/>
      </c>
      <c r="R55" s="2">
        <f>IF(OR(I55="",D55=""),"",I55/D55)</f>
        <v/>
      </c>
      <c r="S55" s="2">
        <f>IFERROR(IF(R55="","",(R55-MIN($R$2:$R$127))/(MAX($R$2:$R$127)-MIN($R$2:$R$127))),"")</f>
        <v/>
      </c>
      <c r="T55" s="2">
        <f>IFERROR(IF(K55="","",(K55-MIN($K$2:$K$127))/(MAX($K$2:$K$127)-MIN($K$2:$K$127))),"")</f>
        <v/>
      </c>
      <c r="U55" s="2">
        <f>IFERROR(IF(L55="","",(L55-MIN($L$2:$L$127))/(MAX($L$2:$L$127)-MIN($L$2:$L$127))),"")</f>
        <v/>
      </c>
      <c r="V55" s="2">
        <f>IF(Q55="","",W_space*Q55+W_service*IF(S55="",0,S55)+W_cat*IF(T55="",0,T55)+W_itin*IF(U55="",0,U55))</f>
        <v/>
      </c>
      <c r="W55" s="2">
        <f>IF(OR(V55="",J55=""),"",V55/(J55/1000))</f>
        <v/>
      </c>
      <c r="X55" s="2">
        <f>IF(F55="",PenMissing,1)*IF(G55="",PenMissing,1)*IF(I55="",PenMissing,1)*IF(J55="",PenMissing,1)</f>
        <v/>
      </c>
      <c r="Y55" s="2">
        <f>IFERROR(IF(W55="","",100*(W55-MIN($W$2:$W$127))/(MAX($W$2:$W$127)-MIN($W$2:$W$127))),"")</f>
        <v/>
      </c>
      <c r="Z55" s="2">
        <f>IF(Y55="","",ROUND(Y55*X55,1))</f>
        <v/>
      </c>
      <c r="AA55" t="inlineStr">
        <is>
          <t>no_engine_data, missing_beam_m</t>
        </is>
      </c>
    </row>
    <row r="56">
      <c r="A56" s="2">
        <f>IF(Z56="","",RANK(Z56,$Z$2:$Z$127))</f>
        <v/>
      </c>
      <c r="B56" t="inlineStr">
        <is>
          <t>Daphne</t>
        </is>
      </c>
      <c r="C56" t="inlineStr">
        <is>
          <t>Tourist Superior</t>
        </is>
      </c>
      <c r="D56" s="3" t="n">
        <v>16</v>
      </c>
      <c r="E56" s="3" t="n">
        <v>8</v>
      </c>
      <c r="F56" s="3" t="n"/>
      <c r="G56" s="3" t="n"/>
      <c r="H56" s="3" t="n"/>
      <c r="I56" s="3" t="n"/>
      <c r="J56" s="3" t="n"/>
      <c r="K56" s="3" t="n"/>
      <c r="L56" t="n">
        <v>61.9</v>
      </c>
      <c r="M56" s="2">
        <f>IF(OR(F56="",G56="",D56=""),"",ROUND(F56*G56/D56,1))</f>
        <v/>
      </c>
      <c r="N56" s="2">
        <f>IF(OR(H56="",D56=""),"",ROUND(H56/D56,1))</f>
        <v/>
      </c>
      <c r="O56" s="2">
        <f>IFERROR(IF(M56="","",(M56-MIN($M$2:$M$127))/(MAX($M$2:$M$127)-MIN($M$2:$M$127))),"")</f>
        <v/>
      </c>
      <c r="P56" s="2">
        <f>IFERROR(IF(N56="","",(N56-MIN($N$2:$N$127))/(MAX($N$2:$N$127)-MIN($N$2:$N$127))),"")</f>
        <v/>
      </c>
      <c r="Q56" s="2">
        <f>IF(O56="","",IF(P56="",O56,(O56+P56)/2))</f>
        <v/>
      </c>
      <c r="R56" s="2">
        <f>IF(OR(I56="",D56=""),"",I56/D56)</f>
        <v/>
      </c>
      <c r="S56" s="2">
        <f>IFERROR(IF(R56="","",(R56-MIN($R$2:$R$127))/(MAX($R$2:$R$127)-MIN($R$2:$R$127))),"")</f>
        <v/>
      </c>
      <c r="T56" s="2">
        <f>IFERROR(IF(K56="","",(K56-MIN($K$2:$K$127))/(MAX($K$2:$K$127)-MIN($K$2:$K$127))),"")</f>
        <v/>
      </c>
      <c r="U56" s="2">
        <f>IFERROR(IF(L56="","",(L56-MIN($L$2:$L$127))/(MAX($L$2:$L$127)-MIN($L$2:$L$127))),"")</f>
        <v/>
      </c>
      <c r="V56" s="2">
        <f>IF(Q56="","",W_space*Q56+W_service*IF(S56="",0,S56)+W_cat*IF(T56="",0,T56)+W_itin*IF(U56="",0,U56))</f>
        <v/>
      </c>
      <c r="W56" s="2">
        <f>IF(OR(V56="",J56=""),"",V56/(J56/1000))</f>
        <v/>
      </c>
      <c r="X56" s="2">
        <f>IF(F56="",PenMissing,1)*IF(G56="",PenMissing,1)*IF(I56="",PenMissing,1)*IF(J56="",PenMissing,1)</f>
        <v/>
      </c>
      <c r="Y56" s="2">
        <f>IFERROR(IF(W56="","",100*(W56-MIN($W$2:$W$127))/(MAX($W$2:$W$127)-MIN($W$2:$W$127))),"")</f>
        <v/>
      </c>
      <c r="Z56" s="2">
        <f>IF(Y56="","",ROUND(Y56*X56,1))</f>
        <v/>
      </c>
      <c r="AA56" t="inlineStr">
        <is>
          <t>no_engine_data, missing_length_m, missing_beam_m, missing_speed_kn, missing_crew_count, missing_price_per_day</t>
        </is>
      </c>
    </row>
    <row r="57">
      <c r="A57" s="2">
        <f>IF(Z57="","",RANK(Z57,$Z$2:$Z$127))</f>
        <v/>
      </c>
      <c r="B57" t="inlineStr">
        <is>
          <t>Darwin</t>
        </is>
      </c>
      <c r="C57" t="inlineStr">
        <is>
          <t>Budget</t>
        </is>
      </c>
      <c r="D57" s="3" t="n">
        <v>16</v>
      </c>
      <c r="E57" s="3" t="n">
        <v>8</v>
      </c>
      <c r="F57" s="3" t="n">
        <v>18.3</v>
      </c>
      <c r="G57" s="3" t="n">
        <v>5</v>
      </c>
      <c r="H57" s="3" t="n"/>
      <c r="I57" s="3" t="n">
        <v>7</v>
      </c>
      <c r="J57" s="3" t="n"/>
      <c r="K57" s="3" t="n">
        <v>2</v>
      </c>
      <c r="L57" t="n">
        <v>60.4</v>
      </c>
      <c r="M57" s="2">
        <f>IF(OR(F57="",G57="",D57=""),"",ROUND(F57*G57/D57,1))</f>
        <v/>
      </c>
      <c r="N57" s="2">
        <f>IF(OR(H57="",D57=""),"",ROUND(H57/D57,1))</f>
        <v/>
      </c>
      <c r="O57" s="2">
        <f>IFERROR(IF(M57="","",(M57-MIN($M$2:$M$127))/(MAX($M$2:$M$127)-MIN($M$2:$M$127))),"")</f>
        <v/>
      </c>
      <c r="P57" s="2">
        <f>IFERROR(IF(N57="","",(N57-MIN($N$2:$N$127))/(MAX($N$2:$N$127)-MIN($N$2:$N$127))),"")</f>
        <v/>
      </c>
      <c r="Q57" s="2">
        <f>IF(O57="","",IF(P57="",O57,(O57+P57)/2))</f>
        <v/>
      </c>
      <c r="R57" s="2">
        <f>IF(OR(I57="",D57=""),"",I57/D57)</f>
        <v/>
      </c>
      <c r="S57" s="2">
        <f>IFERROR(IF(R57="","",(R57-MIN($R$2:$R$127))/(MAX($R$2:$R$127)-MIN($R$2:$R$127))),"")</f>
        <v/>
      </c>
      <c r="T57" s="2">
        <f>IFERROR(IF(K57="","",(K57-MIN($K$2:$K$127))/(MAX($K$2:$K$127)-MIN($K$2:$K$127))),"")</f>
        <v/>
      </c>
      <c r="U57" s="2">
        <f>IFERROR(IF(L57="","",(L57-MIN($L$2:$L$127))/(MAX($L$2:$L$127)-MIN($L$2:$L$127))),"")</f>
        <v/>
      </c>
      <c r="V57" s="2">
        <f>IF(Q57="","",W_space*Q57+W_service*IF(S57="",0,S57)+W_cat*IF(T57="",0,T57)+W_itin*IF(U57="",0,U57))</f>
        <v/>
      </c>
      <c r="W57" s="2">
        <f>IF(OR(V57="",J57=""),"",V57/(J57/1000))</f>
        <v/>
      </c>
      <c r="X57" s="2">
        <f>IF(F57="",PenMissing,1)*IF(G57="",PenMissing,1)*IF(I57="",PenMissing,1)*IF(J57="",PenMissing,1)</f>
        <v/>
      </c>
      <c r="Y57" s="2">
        <f>IFERROR(IF(W57="","",100*(W57-MIN($W$2:$W$127))/(MAX($W$2:$W$127)-MIN($W$2:$W$127))),"")</f>
        <v/>
      </c>
      <c r="Z57" s="2">
        <f>IF(Y57="","",ROUND(Y57*X57,1))</f>
        <v/>
      </c>
      <c r="AA57" t="inlineStr">
        <is>
          <t>missing_price_per_day</t>
        </is>
      </c>
    </row>
    <row r="58">
      <c r="A58" s="2">
        <f>IF(Z58="","",RANK(Z58,$Z$2:$Z$127))</f>
        <v/>
      </c>
      <c r="B58" t="inlineStr">
        <is>
          <t>Eco Galaxy</t>
        </is>
      </c>
      <c r="D58" s="3" t="n">
        <v>16</v>
      </c>
      <c r="E58" s="3" t="n">
        <v>8</v>
      </c>
      <c r="F58" s="3" t="n">
        <v>27</v>
      </c>
      <c r="G58" s="3" t="n"/>
      <c r="H58" s="3" t="n"/>
      <c r="I58" s="3" t="n">
        <v>9</v>
      </c>
      <c r="J58" s="3" t="n">
        <v>4100</v>
      </c>
      <c r="K58" s="3" t="n">
        <v>4</v>
      </c>
      <c r="L58" t="n">
        <v>60.8</v>
      </c>
      <c r="M58" s="2">
        <f>IF(OR(F58="",G58="",D58=""),"",ROUND(F58*G58/D58,1))</f>
        <v/>
      </c>
      <c r="N58" s="2">
        <f>IF(OR(H58="",D58=""),"",ROUND(H58/D58,1))</f>
        <v/>
      </c>
      <c r="O58" s="2">
        <f>IFERROR(IF(M58="","",(M58-MIN($M$2:$M$127))/(MAX($M$2:$M$127)-MIN($M$2:$M$127))),"")</f>
        <v/>
      </c>
      <c r="P58" s="2">
        <f>IFERROR(IF(N58="","",(N58-MIN($N$2:$N$127))/(MAX($N$2:$N$127)-MIN($N$2:$N$127))),"")</f>
        <v/>
      </c>
      <c r="Q58" s="2">
        <f>IF(O58="","",IF(P58="",O58,(O58+P58)/2))</f>
        <v/>
      </c>
      <c r="R58" s="2">
        <f>IF(OR(I58="",D58=""),"",I58/D58)</f>
        <v/>
      </c>
      <c r="S58" s="2">
        <f>IFERROR(IF(R58="","",(R58-MIN($R$2:$R$127))/(MAX($R$2:$R$127)-MIN($R$2:$R$127))),"")</f>
        <v/>
      </c>
      <c r="T58" s="2">
        <f>IFERROR(IF(K58="","",(K58-MIN($K$2:$K$127))/(MAX($K$2:$K$127)-MIN($K$2:$K$127))),"")</f>
        <v/>
      </c>
      <c r="U58" s="2">
        <f>IFERROR(IF(L58="","",(L58-MIN($L$2:$L$127))/(MAX($L$2:$L$127)-MIN($L$2:$L$127))),"")</f>
        <v/>
      </c>
      <c r="V58" s="2">
        <f>IF(Q58="","",W_space*Q58+W_service*IF(S58="",0,S58)+W_cat*IF(T58="",0,T58)+W_itin*IF(U58="",0,U58))</f>
        <v/>
      </c>
      <c r="W58" s="2">
        <f>IF(OR(V58="",J58=""),"",V58/(J58/1000))</f>
        <v/>
      </c>
      <c r="X58" s="2">
        <f>IF(F58="",PenMissing,1)*IF(G58="",PenMissing,1)*IF(I58="",PenMissing,1)*IF(J58="",PenMissing,1)</f>
        <v/>
      </c>
      <c r="Y58" s="2">
        <f>IFERROR(IF(W58="","",100*(W58-MIN($W$2:$W$127))/(MAX($W$2:$W$127)-MIN($W$2:$W$127))),"")</f>
        <v/>
      </c>
      <c r="Z58" s="2">
        <f>IF(Y58="","",ROUND(Y58*X58,1))</f>
        <v/>
      </c>
      <c r="AA58" t="inlineStr">
        <is>
          <t>missing_beam_m</t>
        </is>
      </c>
    </row>
    <row r="59">
      <c r="A59" s="2">
        <f>IF(Z59="","",RANK(Z59,$Z$2:$Z$127))</f>
        <v/>
      </c>
      <c r="B59" t="inlineStr">
        <is>
          <t>Eco Galaxy II</t>
        </is>
      </c>
      <c r="C59" t="inlineStr">
        <is>
          <t>Premium</t>
        </is>
      </c>
      <c r="D59" s="3" t="n">
        <v>16</v>
      </c>
      <c r="E59" s="3" t="n"/>
      <c r="F59" s="3" t="n">
        <v>27</v>
      </c>
      <c r="G59" s="3" t="n">
        <v>5</v>
      </c>
      <c r="H59" s="3" t="n"/>
      <c r="I59" s="3" t="n"/>
      <c r="J59" s="3" t="n"/>
      <c r="K59" s="3" t="n"/>
      <c r="M59" s="2">
        <f>IF(OR(F59="",G59="",D59=""),"",ROUND(F59*G59/D59,1))</f>
        <v/>
      </c>
      <c r="N59" s="2">
        <f>IF(OR(H59="",D59=""),"",ROUND(H59/D59,1))</f>
        <v/>
      </c>
      <c r="O59" s="2">
        <f>IFERROR(IF(M59="","",(M59-MIN($M$2:$M$127))/(MAX($M$2:$M$127)-MIN($M$2:$M$127))),"")</f>
        <v/>
      </c>
      <c r="P59" s="2">
        <f>IFERROR(IF(N59="","",(N59-MIN($N$2:$N$127))/(MAX($N$2:$N$127)-MIN($N$2:$N$127))),"")</f>
        <v/>
      </c>
      <c r="Q59" s="2">
        <f>IF(O59="","",IF(P59="",O59,(O59+P59)/2))</f>
        <v/>
      </c>
      <c r="R59" s="2">
        <f>IF(OR(I59="",D59=""),"",I59/D59)</f>
        <v/>
      </c>
      <c r="S59" s="2">
        <f>IFERROR(IF(R59="","",(R59-MIN($R$2:$R$127))/(MAX($R$2:$R$127)-MIN($R$2:$R$127))),"")</f>
        <v/>
      </c>
      <c r="T59" s="2">
        <f>IFERROR(IF(K59="","",(K59-MIN($K$2:$K$127))/(MAX($K$2:$K$127)-MIN($K$2:$K$127))),"")</f>
        <v/>
      </c>
      <c r="U59" s="2">
        <f>IFERROR(IF(L59="","",(L59-MIN($L$2:$L$127))/(MAX($L$2:$L$127)-MIN($L$2:$L$127))),"")</f>
        <v/>
      </c>
      <c r="V59" s="2">
        <f>IF(Q59="","",W_space*Q59+W_service*IF(S59="",0,S59)+W_cat*IF(T59="",0,T59)+W_itin*IF(U59="",0,U59))</f>
        <v/>
      </c>
      <c r="W59" s="2">
        <f>IF(OR(V59="",J59=""),"",V59/(J59/1000))</f>
        <v/>
      </c>
      <c r="X59" s="2">
        <f>IF(F59="",PenMissing,1)*IF(G59="",PenMissing,1)*IF(I59="",PenMissing,1)*IF(J59="",PenMissing,1)</f>
        <v/>
      </c>
      <c r="Y59" s="2">
        <f>IFERROR(IF(W59="","",100*(W59-MIN($W$2:$W$127))/(MAX($W$2:$W$127)-MIN($W$2:$W$127))),"")</f>
        <v/>
      </c>
      <c r="Z59" s="2">
        <f>IF(Y59="","",ROUND(Y59*X59,1))</f>
        <v/>
      </c>
      <c r="AA59" t="inlineStr">
        <is>
          <t>no_engine_data, missing_crew_count, missing_price_per_day</t>
        </is>
      </c>
    </row>
    <row r="60">
      <c r="A60" s="2">
        <f>IF(Z60="","",RANK(Z60,$Z$2:$Z$127))</f>
        <v/>
      </c>
      <c r="B60" t="inlineStr">
        <is>
          <t>Ecogalaxy</t>
        </is>
      </c>
      <c r="C60" t="inlineStr">
        <is>
          <t>First Class</t>
        </is>
      </c>
      <c r="D60" s="3" t="n">
        <v>16</v>
      </c>
      <c r="E60" s="3" t="n">
        <v>8</v>
      </c>
      <c r="F60" s="3" t="n"/>
      <c r="G60" s="3" t="n"/>
      <c r="H60" s="3" t="n"/>
      <c r="I60" s="3" t="n"/>
      <c r="J60" s="3" t="n"/>
      <c r="K60" s="3" t="n"/>
      <c r="L60" t="n">
        <v>60.8</v>
      </c>
      <c r="M60" s="2">
        <f>IF(OR(F60="",G60="",D60=""),"",ROUND(F60*G60/D60,1))</f>
        <v/>
      </c>
      <c r="N60" s="2">
        <f>IF(OR(H60="",D60=""),"",ROUND(H60/D60,1))</f>
        <v/>
      </c>
      <c r="O60" s="2">
        <f>IFERROR(IF(M60="","",(M60-MIN($M$2:$M$127))/(MAX($M$2:$M$127)-MIN($M$2:$M$127))),"")</f>
        <v/>
      </c>
      <c r="P60" s="2">
        <f>IFERROR(IF(N60="","",(N60-MIN($N$2:$N$127))/(MAX($N$2:$N$127)-MIN($N$2:$N$127))),"")</f>
        <v/>
      </c>
      <c r="Q60" s="2">
        <f>IF(O60="","",IF(P60="",O60,(O60+P60)/2))</f>
        <v/>
      </c>
      <c r="R60" s="2">
        <f>IF(OR(I60="",D60=""),"",I60/D60)</f>
        <v/>
      </c>
      <c r="S60" s="2">
        <f>IFERROR(IF(R60="","",(R60-MIN($R$2:$R$127))/(MAX($R$2:$R$127)-MIN($R$2:$R$127))),"")</f>
        <v/>
      </c>
      <c r="T60" s="2">
        <f>IFERROR(IF(K60="","",(K60-MIN($K$2:$K$127))/(MAX($K$2:$K$127)-MIN($K$2:$K$127))),"")</f>
        <v/>
      </c>
      <c r="U60" s="2">
        <f>IFERROR(IF(L60="","",(L60-MIN($L$2:$L$127))/(MAX($L$2:$L$127)-MIN($L$2:$L$127))),"")</f>
        <v/>
      </c>
      <c r="V60" s="2">
        <f>IF(Q60="","",W_space*Q60+W_service*IF(S60="",0,S60)+W_cat*IF(T60="",0,T60)+W_itin*IF(U60="",0,U60))</f>
        <v/>
      </c>
      <c r="W60" s="2">
        <f>IF(OR(V60="",J60=""),"",V60/(J60/1000))</f>
        <v/>
      </c>
      <c r="X60" s="2">
        <f>IF(F60="",PenMissing,1)*IF(G60="",PenMissing,1)*IF(I60="",PenMissing,1)*IF(J60="",PenMissing,1)</f>
        <v/>
      </c>
      <c r="Y60" s="2">
        <f>IFERROR(IF(W60="","",100*(W60-MIN($W$2:$W$127))/(MAX($W$2:$W$127)-MIN($W$2:$W$127))),"")</f>
        <v/>
      </c>
      <c r="Z60" s="2">
        <f>IF(Y60="","",ROUND(Y60*X60,1))</f>
        <v/>
      </c>
      <c r="AA60" t="inlineStr">
        <is>
          <t>no_engine_data, missing_length_m, missing_beam_m, missing_speed_kn, missing_crew_count, missing_price_per_day</t>
        </is>
      </c>
    </row>
    <row r="61">
      <c r="A61" s="2">
        <f>IF(Z61="","",RANK(Z61,$Z$2:$Z$127))</f>
        <v/>
      </c>
      <c r="B61" t="inlineStr">
        <is>
          <t>Elite</t>
        </is>
      </c>
      <c r="C61" t="inlineStr">
        <is>
          <t>Luxury</t>
        </is>
      </c>
      <c r="D61" s="3" t="n">
        <v>16</v>
      </c>
      <c r="E61" s="3" t="n">
        <v>9</v>
      </c>
      <c r="F61" s="3" t="n"/>
      <c r="G61" s="3" t="n">
        <v>5</v>
      </c>
      <c r="H61" s="3" t="n"/>
      <c r="I61" s="3" t="n">
        <v>11</v>
      </c>
      <c r="J61" s="3" t="n">
        <v>4990</v>
      </c>
      <c r="K61" s="3" t="n">
        <v>5</v>
      </c>
      <c r="L61" t="n">
        <v>58.1</v>
      </c>
      <c r="M61" s="2">
        <f>IF(OR(F61="",G61="",D61=""),"",ROUND(F61*G61/D61,1))</f>
        <v/>
      </c>
      <c r="N61" s="2">
        <f>IF(OR(H61="",D61=""),"",ROUND(H61/D61,1))</f>
        <v/>
      </c>
      <c r="O61" s="2">
        <f>IFERROR(IF(M61="","",(M61-MIN($M$2:$M$127))/(MAX($M$2:$M$127)-MIN($M$2:$M$127))),"")</f>
        <v/>
      </c>
      <c r="P61" s="2">
        <f>IFERROR(IF(N61="","",(N61-MIN($N$2:$N$127))/(MAX($N$2:$N$127)-MIN($N$2:$N$127))),"")</f>
        <v/>
      </c>
      <c r="Q61" s="2">
        <f>IF(O61="","",IF(P61="",O61,(O61+P61)/2))</f>
        <v/>
      </c>
      <c r="R61" s="2">
        <f>IF(OR(I61="",D61=""),"",I61/D61)</f>
        <v/>
      </c>
      <c r="S61" s="2">
        <f>IFERROR(IF(R61="","",(R61-MIN($R$2:$R$127))/(MAX($R$2:$R$127)-MIN($R$2:$R$127))),"")</f>
        <v/>
      </c>
      <c r="T61" s="2">
        <f>IFERROR(IF(K61="","",(K61-MIN($K$2:$K$127))/(MAX($K$2:$K$127)-MIN($K$2:$K$127))),"")</f>
        <v/>
      </c>
      <c r="U61" s="2">
        <f>IFERROR(IF(L61="","",(L61-MIN($L$2:$L$127))/(MAX($L$2:$L$127)-MIN($L$2:$L$127))),"")</f>
        <v/>
      </c>
      <c r="V61" s="2">
        <f>IF(Q61="","",W_space*Q61+W_service*IF(S61="",0,S61)+W_cat*IF(T61="",0,T61)+W_itin*IF(U61="",0,U61))</f>
        <v/>
      </c>
      <c r="W61" s="2">
        <f>IF(OR(V61="",J61=""),"",V61/(J61/1000))</f>
        <v/>
      </c>
      <c r="X61" s="2">
        <f>IF(F61="",PenMissing,1)*IF(G61="",PenMissing,1)*IF(I61="",PenMissing,1)*IF(J61="",PenMissing,1)</f>
        <v/>
      </c>
      <c r="Y61" s="2">
        <f>IFERROR(IF(W61="","",100*(W61-MIN($W$2:$W$127))/(MAX($W$2:$W$127)-MIN($W$2:$W$127))),"")</f>
        <v/>
      </c>
      <c r="Z61" s="2">
        <f>IF(Y61="","",ROUND(Y61*X61,1))</f>
        <v/>
      </c>
      <c r="AA61" t="inlineStr">
        <is>
          <t>length_ft_m_mismatch, length_out_of_range, missing_length_m</t>
        </is>
      </c>
    </row>
    <row r="62">
      <c r="A62" s="2">
        <f>IF(Z62="","",RANK(Z62,$Z$2:$Z$127))</f>
        <v/>
      </c>
      <c r="B62" t="inlineStr">
        <is>
          <t>Encantada</t>
        </is>
      </c>
      <c r="C62" t="inlineStr">
        <is>
          <t>Budget</t>
        </is>
      </c>
      <c r="D62" s="3" t="n">
        <v>12</v>
      </c>
      <c r="E62" s="3" t="n"/>
      <c r="F62" s="3" t="n">
        <v>21</v>
      </c>
      <c r="G62" s="3" t="n">
        <v>5</v>
      </c>
      <c r="H62" s="3" t="n"/>
      <c r="I62" s="3" t="n"/>
      <c r="J62" s="3" t="n"/>
      <c r="K62" s="3" t="n"/>
      <c r="M62" s="2">
        <f>IF(OR(F62="",G62="",D62=""),"",ROUND(F62*G62/D62,1))</f>
        <v/>
      </c>
      <c r="N62" s="2">
        <f>IF(OR(H62="",D62=""),"",ROUND(H62/D62,1))</f>
        <v/>
      </c>
      <c r="O62" s="2">
        <f>IFERROR(IF(M62="","",(M62-MIN($M$2:$M$127))/(MAX($M$2:$M$127)-MIN($M$2:$M$127))),"")</f>
        <v/>
      </c>
      <c r="P62" s="2">
        <f>IFERROR(IF(N62="","",(N62-MIN($N$2:$N$127))/(MAX($N$2:$N$127)-MIN($N$2:$N$127))),"")</f>
        <v/>
      </c>
      <c r="Q62" s="2">
        <f>IF(O62="","",IF(P62="",O62,(O62+P62)/2))</f>
        <v/>
      </c>
      <c r="R62" s="2">
        <f>IF(OR(I62="",D62=""),"",I62/D62)</f>
        <v/>
      </c>
      <c r="S62" s="2">
        <f>IFERROR(IF(R62="","",(R62-MIN($R$2:$R$127))/(MAX($R$2:$R$127)-MIN($R$2:$R$127))),"")</f>
        <v/>
      </c>
      <c r="T62" s="2">
        <f>IFERROR(IF(K62="","",(K62-MIN($K$2:$K$127))/(MAX($K$2:$K$127)-MIN($K$2:$K$127))),"")</f>
        <v/>
      </c>
      <c r="U62" s="2">
        <f>IFERROR(IF(L62="","",(L62-MIN($L$2:$L$127))/(MAX($L$2:$L$127)-MIN($L$2:$L$127))),"")</f>
        <v/>
      </c>
      <c r="V62" s="2">
        <f>IF(Q62="","",W_space*Q62+W_service*IF(S62="",0,S62)+W_cat*IF(T62="",0,T62)+W_itin*IF(U62="",0,U62))</f>
        <v/>
      </c>
      <c r="W62" s="2">
        <f>IF(OR(V62="",J62=""),"",V62/(J62/1000))</f>
        <v/>
      </c>
      <c r="X62" s="2">
        <f>IF(F62="",PenMissing,1)*IF(G62="",PenMissing,1)*IF(I62="",PenMissing,1)*IF(J62="",PenMissing,1)</f>
        <v/>
      </c>
      <c r="Y62" s="2">
        <f>IFERROR(IF(W62="","",100*(W62-MIN($W$2:$W$127))/(MAX($W$2:$W$127)-MIN($W$2:$W$127))),"")</f>
        <v/>
      </c>
      <c r="Z62" s="2">
        <f>IF(Y62="","",ROUND(Y62*X62,1))</f>
        <v/>
      </c>
      <c r="AA62" t="inlineStr">
        <is>
          <t>no_engine_data, missing_crew_count, missing_price_per_day</t>
        </is>
      </c>
    </row>
    <row r="63">
      <c r="A63" s="2">
        <f>IF(Z63="","",RANK(Z63,$Z$2:$Z$127))</f>
        <v/>
      </c>
      <c r="B63" t="inlineStr">
        <is>
          <t>Equinox</t>
        </is>
      </c>
      <c r="C63" t="inlineStr">
        <is>
          <t>Classic</t>
        </is>
      </c>
      <c r="D63" s="3" t="n">
        <v>20</v>
      </c>
      <c r="E63" s="3" t="n">
        <v>11</v>
      </c>
      <c r="F63" s="3" t="n">
        <v>27</v>
      </c>
      <c r="G63" s="3" t="n">
        <v>7</v>
      </c>
      <c r="H63" s="3" t="n"/>
      <c r="I63" s="3" t="n"/>
      <c r="J63" s="3" t="n"/>
      <c r="K63" s="3" t="n"/>
      <c r="L63" t="n">
        <v>60.2</v>
      </c>
      <c r="M63" s="2">
        <f>IF(OR(F63="",G63="",D63=""),"",ROUND(F63*G63/D63,1))</f>
        <v/>
      </c>
      <c r="N63" s="2">
        <f>IF(OR(H63="",D63=""),"",ROUND(H63/D63,1))</f>
        <v/>
      </c>
      <c r="O63" s="2">
        <f>IFERROR(IF(M63="","",(M63-MIN($M$2:$M$127))/(MAX($M$2:$M$127)-MIN($M$2:$M$127))),"")</f>
        <v/>
      </c>
      <c r="P63" s="2">
        <f>IFERROR(IF(N63="","",(N63-MIN($N$2:$N$127))/(MAX($N$2:$N$127)-MIN($N$2:$N$127))),"")</f>
        <v/>
      </c>
      <c r="Q63" s="2">
        <f>IF(O63="","",IF(P63="",O63,(O63+P63)/2))</f>
        <v/>
      </c>
      <c r="R63" s="2">
        <f>IF(OR(I63="",D63=""),"",I63/D63)</f>
        <v/>
      </c>
      <c r="S63" s="2">
        <f>IFERROR(IF(R63="","",(R63-MIN($R$2:$R$127))/(MAX($R$2:$R$127)-MIN($R$2:$R$127))),"")</f>
        <v/>
      </c>
      <c r="T63" s="2">
        <f>IFERROR(IF(K63="","",(K63-MIN($K$2:$K$127))/(MAX($K$2:$K$127)-MIN($K$2:$K$127))),"")</f>
        <v/>
      </c>
      <c r="U63" s="2">
        <f>IFERROR(IF(L63="","",(L63-MIN($L$2:$L$127))/(MAX($L$2:$L$127)-MIN($L$2:$L$127))),"")</f>
        <v/>
      </c>
      <c r="V63" s="2">
        <f>IF(Q63="","",W_space*Q63+W_service*IF(S63="",0,S63)+W_cat*IF(T63="",0,T63)+W_itin*IF(U63="",0,U63))</f>
        <v/>
      </c>
      <c r="W63" s="2">
        <f>IF(OR(V63="",J63=""),"",V63/(J63/1000))</f>
        <v/>
      </c>
      <c r="X63" s="2">
        <f>IF(F63="",PenMissing,1)*IF(G63="",PenMissing,1)*IF(I63="",PenMissing,1)*IF(J63="",PenMissing,1)</f>
        <v/>
      </c>
      <c r="Y63" s="2">
        <f>IFERROR(IF(W63="","",100*(W63-MIN($W$2:$W$127))/(MAX($W$2:$W$127)-MIN($W$2:$W$127))),"")</f>
        <v/>
      </c>
      <c r="Z63" s="2">
        <f>IF(Y63="","",ROUND(Y63*X63,1))</f>
        <v/>
      </c>
      <c r="AA63" t="inlineStr">
        <is>
          <t>no_engine_data, missing_speed_kn, missing_crew_count, missing_price_per_day</t>
        </is>
      </c>
    </row>
    <row r="64">
      <c r="A64" s="2">
        <f>IF(Z64="","",RANK(Z64,$Z$2:$Z$127))</f>
        <v/>
      </c>
      <c r="B64" t="inlineStr">
        <is>
          <t>Estrella de Mar</t>
        </is>
      </c>
      <c r="C64" t="inlineStr">
        <is>
          <t>Tourist</t>
        </is>
      </c>
      <c r="D64" s="3" t="n">
        <v>16</v>
      </c>
      <c r="E64" s="3" t="n">
        <v>8</v>
      </c>
      <c r="F64" s="3" t="n"/>
      <c r="G64" s="3" t="n"/>
      <c r="H64" s="3" t="n"/>
      <c r="I64" s="3" t="n"/>
      <c r="J64" s="3" t="n"/>
      <c r="K64" s="3" t="n"/>
      <c r="L64" t="n">
        <v>64.3</v>
      </c>
      <c r="M64" s="2">
        <f>IF(OR(F64="",G64="",D64=""),"",ROUND(F64*G64/D64,1))</f>
        <v/>
      </c>
      <c r="N64" s="2">
        <f>IF(OR(H64="",D64=""),"",ROUND(H64/D64,1))</f>
        <v/>
      </c>
      <c r="O64" s="2">
        <f>IFERROR(IF(M64="","",(M64-MIN($M$2:$M$127))/(MAX($M$2:$M$127)-MIN($M$2:$M$127))),"")</f>
        <v/>
      </c>
      <c r="P64" s="2">
        <f>IFERROR(IF(N64="","",(N64-MIN($N$2:$N$127))/(MAX($N$2:$N$127)-MIN($N$2:$N$127))),"")</f>
        <v/>
      </c>
      <c r="Q64" s="2">
        <f>IF(O64="","",IF(P64="",O64,(O64+P64)/2))</f>
        <v/>
      </c>
      <c r="R64" s="2">
        <f>IF(OR(I64="",D64=""),"",I64/D64)</f>
        <v/>
      </c>
      <c r="S64" s="2">
        <f>IFERROR(IF(R64="","",(R64-MIN($R$2:$R$127))/(MAX($R$2:$R$127)-MIN($R$2:$R$127))),"")</f>
        <v/>
      </c>
      <c r="T64" s="2">
        <f>IFERROR(IF(K64="","",(K64-MIN($K$2:$K$127))/(MAX($K$2:$K$127)-MIN($K$2:$K$127))),"")</f>
        <v/>
      </c>
      <c r="U64" s="2">
        <f>IFERROR(IF(L64="","",(L64-MIN($L$2:$L$127))/(MAX($L$2:$L$127)-MIN($L$2:$L$127))),"")</f>
        <v/>
      </c>
      <c r="V64" s="2">
        <f>IF(Q64="","",W_space*Q64+W_service*IF(S64="",0,S64)+W_cat*IF(T64="",0,T64)+W_itin*IF(U64="",0,U64))</f>
        <v/>
      </c>
      <c r="W64" s="2">
        <f>IF(OR(V64="",J64=""),"",V64/(J64/1000))</f>
        <v/>
      </c>
      <c r="X64" s="2">
        <f>IF(F64="",PenMissing,1)*IF(G64="",PenMissing,1)*IF(I64="",PenMissing,1)*IF(J64="",PenMissing,1)</f>
        <v/>
      </c>
      <c r="Y64" s="2">
        <f>IFERROR(IF(W64="","",100*(W64-MIN($W$2:$W$127))/(MAX($W$2:$W$127)-MIN($W$2:$W$127))),"")</f>
        <v/>
      </c>
      <c r="Z64" s="2">
        <f>IF(Y64="","",ROUND(Y64*X64,1))</f>
        <v/>
      </c>
      <c r="AA64" t="inlineStr">
        <is>
          <t>no_engine_data, missing_length_m, missing_beam_m, missing_speed_kn, missing_crew_count, missing_price_per_day</t>
        </is>
      </c>
    </row>
    <row r="65">
      <c r="A65" s="2">
        <f>IF(Z65="","",RANK(Z65,$Z$2:$Z$127))</f>
        <v/>
      </c>
      <c r="B65" t="inlineStr">
        <is>
          <t>Estrella del Mar</t>
        </is>
      </c>
      <c r="C65" t="inlineStr">
        <is>
          <t>Classic</t>
        </is>
      </c>
      <c r="D65" s="3" t="n">
        <v>16</v>
      </c>
      <c r="E65" s="3" t="n"/>
      <c r="F65" s="3" t="n">
        <v>23</v>
      </c>
      <c r="G65" s="3" t="n"/>
      <c r="H65" s="3" t="n"/>
      <c r="I65" s="3" t="n"/>
      <c r="J65" s="3" t="n"/>
      <c r="K65" s="3" t="n"/>
      <c r="M65" s="2">
        <f>IF(OR(F65="",G65="",D65=""),"",ROUND(F65*G65/D65,1))</f>
        <v/>
      </c>
      <c r="N65" s="2">
        <f>IF(OR(H65="",D65=""),"",ROUND(H65/D65,1))</f>
        <v/>
      </c>
      <c r="O65" s="2">
        <f>IFERROR(IF(M65="","",(M65-MIN($M$2:$M$127))/(MAX($M$2:$M$127)-MIN($M$2:$M$127))),"")</f>
        <v/>
      </c>
      <c r="P65" s="2">
        <f>IFERROR(IF(N65="","",(N65-MIN($N$2:$N$127))/(MAX($N$2:$N$127)-MIN($N$2:$N$127))),"")</f>
        <v/>
      </c>
      <c r="Q65" s="2">
        <f>IF(O65="","",IF(P65="",O65,(O65+P65)/2))</f>
        <v/>
      </c>
      <c r="R65" s="2">
        <f>IF(OR(I65="",D65=""),"",I65/D65)</f>
        <v/>
      </c>
      <c r="S65" s="2">
        <f>IFERROR(IF(R65="","",(R65-MIN($R$2:$R$127))/(MAX($R$2:$R$127)-MIN($R$2:$R$127))),"")</f>
        <v/>
      </c>
      <c r="T65" s="2">
        <f>IFERROR(IF(K65="","",(K65-MIN($K$2:$K$127))/(MAX($K$2:$K$127)-MIN($K$2:$K$127))),"")</f>
        <v/>
      </c>
      <c r="U65" s="2">
        <f>IFERROR(IF(L65="","",(L65-MIN($L$2:$L$127))/(MAX($L$2:$L$127)-MIN($L$2:$L$127))),"")</f>
        <v/>
      </c>
      <c r="V65" s="2">
        <f>IF(Q65="","",W_space*Q65+W_service*IF(S65="",0,S65)+W_cat*IF(T65="",0,T65)+W_itin*IF(U65="",0,U65))</f>
        <v/>
      </c>
      <c r="W65" s="2">
        <f>IF(OR(V65="",J65=""),"",V65/(J65/1000))</f>
        <v/>
      </c>
      <c r="X65" s="2">
        <f>IF(F65="",PenMissing,1)*IF(G65="",PenMissing,1)*IF(I65="",PenMissing,1)*IF(J65="",PenMissing,1)</f>
        <v/>
      </c>
      <c r="Y65" s="2">
        <f>IFERROR(IF(W65="","",100*(W65-MIN($W$2:$W$127))/(MAX($W$2:$W$127)-MIN($W$2:$W$127))),"")</f>
        <v/>
      </c>
      <c r="Z65" s="2">
        <f>IF(Y65="","",ROUND(Y65*X65,1))</f>
        <v/>
      </c>
      <c r="AA65" t="inlineStr">
        <is>
          <t>no_engine_data, missing_beam_m, missing_crew_count, missing_price_per_day</t>
        </is>
      </c>
    </row>
    <row r="66">
      <c r="A66" s="2">
        <f>IF(Z66="","",RANK(Z66,$Z$2:$Z$127))</f>
        <v/>
      </c>
      <c r="B66" t="inlineStr">
        <is>
          <t>Evolution</t>
        </is>
      </c>
      <c r="C66" t="inlineStr">
        <is>
          <t>Luxury</t>
        </is>
      </c>
      <c r="D66" s="3" t="n">
        <v>32</v>
      </c>
      <c r="E66" s="3" t="n">
        <v>16</v>
      </c>
      <c r="F66" s="3" t="n">
        <v>60</v>
      </c>
      <c r="G66" s="3" t="n"/>
      <c r="H66" s="3" t="n"/>
      <c r="I66" s="3" t="n">
        <v>18</v>
      </c>
      <c r="J66" s="3" t="n"/>
      <c r="K66" s="3" t="n">
        <v>5</v>
      </c>
      <c r="L66" t="n">
        <v>64</v>
      </c>
      <c r="M66" s="2">
        <f>IF(OR(F66="",G66="",D66=""),"",ROUND(F66*G66/D66,1))</f>
        <v/>
      </c>
      <c r="N66" s="2">
        <f>IF(OR(H66="",D66=""),"",ROUND(H66/D66,1))</f>
        <v/>
      </c>
      <c r="O66" s="2">
        <f>IFERROR(IF(M66="","",(M66-MIN($M$2:$M$127))/(MAX($M$2:$M$127)-MIN($M$2:$M$127))),"")</f>
        <v/>
      </c>
      <c r="P66" s="2">
        <f>IFERROR(IF(N66="","",(N66-MIN($N$2:$N$127))/(MAX($N$2:$N$127)-MIN($N$2:$N$127))),"")</f>
        <v/>
      </c>
      <c r="Q66" s="2">
        <f>IF(O66="","",IF(P66="",O66,(O66+P66)/2))</f>
        <v/>
      </c>
      <c r="R66" s="2">
        <f>IF(OR(I66="",D66=""),"",I66/D66)</f>
        <v/>
      </c>
      <c r="S66" s="2">
        <f>IFERROR(IF(R66="","",(R66-MIN($R$2:$R$127))/(MAX($R$2:$R$127)-MIN($R$2:$R$127))),"")</f>
        <v/>
      </c>
      <c r="T66" s="2">
        <f>IFERROR(IF(K66="","",(K66-MIN($K$2:$K$127))/(MAX($K$2:$K$127)-MIN($K$2:$K$127))),"")</f>
        <v/>
      </c>
      <c r="U66" s="2">
        <f>IFERROR(IF(L66="","",(L66-MIN($L$2:$L$127))/(MAX($L$2:$L$127)-MIN($L$2:$L$127))),"")</f>
        <v/>
      </c>
      <c r="V66" s="2">
        <f>IF(Q66="","",W_space*Q66+W_service*IF(S66="",0,S66)+W_cat*IF(T66="",0,T66)+W_itin*IF(U66="",0,U66))</f>
        <v/>
      </c>
      <c r="W66" s="2">
        <f>IF(OR(V66="",J66=""),"",V66/(J66/1000))</f>
        <v/>
      </c>
      <c r="X66" s="2">
        <f>IF(F66="",PenMissing,1)*IF(G66="",PenMissing,1)*IF(I66="",PenMissing,1)*IF(J66="",PenMissing,1)</f>
        <v/>
      </c>
      <c r="Y66" s="2">
        <f>IFERROR(IF(W66="","",100*(W66-MIN($W$2:$W$127))/(MAX($W$2:$W$127)-MIN($W$2:$W$127))),"")</f>
        <v/>
      </c>
      <c r="Z66" s="2">
        <f>IF(Y66="","",ROUND(Y66*X66,1))</f>
        <v/>
      </c>
      <c r="AA66" t="inlineStr">
        <is>
          <t>length_ft_m_mismatch, missing_beam_m, missing_price_per_day</t>
        </is>
      </c>
    </row>
    <row r="67">
      <c r="A67" s="2">
        <f>IF(Z67="","",RANK(Z67,$Z$2:$Z$127))</f>
        <v/>
      </c>
      <c r="B67" t="inlineStr">
        <is>
          <t>Galapagos Explorer</t>
        </is>
      </c>
      <c r="D67" s="3" t="n">
        <v>12</v>
      </c>
      <c r="E67" s="3" t="n">
        <v>6</v>
      </c>
      <c r="F67" s="3" t="n"/>
      <c r="G67" s="3" t="n"/>
      <c r="H67" s="3" t="n"/>
      <c r="I67" s="3" t="n"/>
      <c r="J67" s="3" t="n"/>
      <c r="K67" s="3" t="n">
        <v>5</v>
      </c>
      <c r="M67" s="2">
        <f>IF(OR(F67="",G67="",D67=""),"",ROUND(F67*G67/D67,1))</f>
        <v/>
      </c>
      <c r="N67" s="2">
        <f>IF(OR(H67="",D67=""),"",ROUND(H67/D67,1))</f>
        <v/>
      </c>
      <c r="O67" s="2">
        <f>IFERROR(IF(M67="","",(M67-MIN($M$2:$M$127))/(MAX($M$2:$M$127)-MIN($M$2:$M$127))),"")</f>
        <v/>
      </c>
      <c r="P67" s="2">
        <f>IFERROR(IF(N67="","",(N67-MIN($N$2:$N$127))/(MAX($N$2:$N$127)-MIN($N$2:$N$127))),"")</f>
        <v/>
      </c>
      <c r="Q67" s="2">
        <f>IF(O67="","",IF(P67="",O67,(O67+P67)/2))</f>
        <v/>
      </c>
      <c r="R67" s="2">
        <f>IF(OR(I67="",D67=""),"",I67/D67)</f>
        <v/>
      </c>
      <c r="S67" s="2">
        <f>IFERROR(IF(R67="","",(R67-MIN($R$2:$R$127))/(MAX($R$2:$R$127)-MIN($R$2:$R$127))),"")</f>
        <v/>
      </c>
      <c r="T67" s="2">
        <f>IFERROR(IF(K67="","",(K67-MIN($K$2:$K$127))/(MAX($K$2:$K$127)-MIN($K$2:$K$127))),"")</f>
        <v/>
      </c>
      <c r="U67" s="2">
        <f>IFERROR(IF(L67="","",(L67-MIN($L$2:$L$127))/(MAX($L$2:$L$127)-MIN($L$2:$L$127))),"")</f>
        <v/>
      </c>
      <c r="V67" s="2">
        <f>IF(Q67="","",W_space*Q67+W_service*IF(S67="",0,S67)+W_cat*IF(T67="",0,T67)+W_itin*IF(U67="",0,U67))</f>
        <v/>
      </c>
      <c r="W67" s="2">
        <f>IF(OR(V67="",J67=""),"",V67/(J67/1000))</f>
        <v/>
      </c>
      <c r="X67" s="2">
        <f>IF(F67="",PenMissing,1)*IF(G67="",PenMissing,1)*IF(I67="",PenMissing,1)*IF(J67="",PenMissing,1)</f>
        <v/>
      </c>
      <c r="Y67" s="2">
        <f>IFERROR(IF(W67="","",100*(W67-MIN($W$2:$W$127))/(MAX($W$2:$W$127)-MIN($W$2:$W$127))),"")</f>
        <v/>
      </c>
      <c r="Z67" s="2">
        <f>IF(Y67="","",ROUND(Y67*X67,1))</f>
        <v/>
      </c>
      <c r="AA67" t="inlineStr">
        <is>
          <t>no_engine_data, missing_length_m, missing_beam_m, missing_speed_kn, missing_crew_count, missing_price_per_day</t>
        </is>
      </c>
    </row>
    <row r="68">
      <c r="A68" s="2">
        <f>IF(Z68="","",RANK(Z68,$Z$2:$Z$127))</f>
        <v/>
      </c>
      <c r="B68" t="inlineStr">
        <is>
          <t>Flamingo</t>
        </is>
      </c>
      <c r="C68" t="inlineStr">
        <is>
          <t>Tourist</t>
        </is>
      </c>
      <c r="D68" s="3" t="n">
        <v>10</v>
      </c>
      <c r="E68" s="3" t="n">
        <v>5</v>
      </c>
      <c r="F68" s="3" t="n"/>
      <c r="G68" s="3" t="n"/>
      <c r="H68" s="3" t="n"/>
      <c r="I68" s="3" t="n"/>
      <c r="J68" s="3" t="n"/>
      <c r="K68" s="3" t="n"/>
      <c r="L68" t="n">
        <v>58.1</v>
      </c>
      <c r="M68" s="2">
        <f>IF(OR(F68="",G68="",D68=""),"",ROUND(F68*G68/D68,1))</f>
        <v/>
      </c>
      <c r="N68" s="2">
        <f>IF(OR(H68="",D68=""),"",ROUND(H68/D68,1))</f>
        <v/>
      </c>
      <c r="O68" s="2">
        <f>IFERROR(IF(M68="","",(M68-MIN($M$2:$M$127))/(MAX($M$2:$M$127)-MIN($M$2:$M$127))),"")</f>
        <v/>
      </c>
      <c r="P68" s="2">
        <f>IFERROR(IF(N68="","",(N68-MIN($N$2:$N$127))/(MAX($N$2:$N$127)-MIN($N$2:$N$127))),"")</f>
        <v/>
      </c>
      <c r="Q68" s="2">
        <f>IF(O68="","",IF(P68="",O68,(O68+P68)/2))</f>
        <v/>
      </c>
      <c r="R68" s="2">
        <f>IF(OR(I68="",D68=""),"",I68/D68)</f>
        <v/>
      </c>
      <c r="S68" s="2">
        <f>IFERROR(IF(R68="","",(R68-MIN($R$2:$R$127))/(MAX($R$2:$R$127)-MIN($R$2:$R$127))),"")</f>
        <v/>
      </c>
      <c r="T68" s="2">
        <f>IFERROR(IF(K68="","",(K68-MIN($K$2:$K$127))/(MAX($K$2:$K$127)-MIN($K$2:$K$127))),"")</f>
        <v/>
      </c>
      <c r="U68" s="2">
        <f>IFERROR(IF(L68="","",(L68-MIN($L$2:$L$127))/(MAX($L$2:$L$127)-MIN($L$2:$L$127))),"")</f>
        <v/>
      </c>
      <c r="V68" s="2">
        <f>IF(Q68="","",W_space*Q68+W_service*IF(S68="",0,S68)+W_cat*IF(T68="",0,T68)+W_itin*IF(U68="",0,U68))</f>
        <v/>
      </c>
      <c r="W68" s="2">
        <f>IF(OR(V68="",J68=""),"",V68/(J68/1000))</f>
        <v/>
      </c>
      <c r="X68" s="2">
        <f>IF(F68="",PenMissing,1)*IF(G68="",PenMissing,1)*IF(I68="",PenMissing,1)*IF(J68="",PenMissing,1)</f>
        <v/>
      </c>
      <c r="Y68" s="2">
        <f>IFERROR(IF(W68="","",100*(W68-MIN($W$2:$W$127))/(MAX($W$2:$W$127)-MIN($W$2:$W$127))),"")</f>
        <v/>
      </c>
      <c r="Z68" s="2">
        <f>IF(Y68="","",ROUND(Y68*X68,1))</f>
        <v/>
      </c>
      <c r="AA68" t="inlineStr">
        <is>
          <t>no_engine_data, missing_length_m, missing_beam_m, missing_speed_kn, missing_crew_count, missing_price_per_day</t>
        </is>
      </c>
    </row>
    <row r="69">
      <c r="A69" s="2">
        <f>IF(Z69="","",RANK(Z69,$Z$2:$Z$127))</f>
        <v/>
      </c>
      <c r="B69" t="inlineStr">
        <is>
          <t>Flora</t>
        </is>
      </c>
      <c r="C69" t="inlineStr">
        <is>
          <t>Luxury</t>
        </is>
      </c>
      <c r="D69" s="3" t="n"/>
      <c r="E69" s="3" t="n">
        <v>0</v>
      </c>
      <c r="F69" s="3" t="n"/>
      <c r="G69" s="3" t="n"/>
      <c r="H69" s="3" t="n"/>
      <c r="I69" s="3" t="n"/>
      <c r="J69" s="3" t="n"/>
      <c r="K69" s="3" t="n"/>
      <c r="M69" s="2">
        <f>IF(OR(F69="",G69="",D69=""),"",ROUND(F69*G69/D69,1))</f>
        <v/>
      </c>
      <c r="N69" s="2">
        <f>IF(OR(H69="",D69=""),"",ROUND(H69/D69,1))</f>
        <v/>
      </c>
      <c r="O69" s="2">
        <f>IFERROR(IF(M69="","",(M69-MIN($M$2:$M$127))/(MAX($M$2:$M$127)-MIN($M$2:$M$127))),"")</f>
        <v/>
      </c>
      <c r="P69" s="2">
        <f>IFERROR(IF(N69="","",(N69-MIN($N$2:$N$127))/(MAX($N$2:$N$127)-MIN($N$2:$N$127))),"")</f>
        <v/>
      </c>
      <c r="Q69" s="2">
        <f>IF(O69="","",IF(P69="",O69,(O69+P69)/2))</f>
        <v/>
      </c>
      <c r="R69" s="2">
        <f>IF(OR(I69="",D69=""),"",I69/D69)</f>
        <v/>
      </c>
      <c r="S69" s="2">
        <f>IFERROR(IF(R69="","",(R69-MIN($R$2:$R$127))/(MAX($R$2:$R$127)-MIN($R$2:$R$127))),"")</f>
        <v/>
      </c>
      <c r="T69" s="2">
        <f>IFERROR(IF(K69="","",(K69-MIN($K$2:$K$127))/(MAX($K$2:$K$127)-MIN($K$2:$K$127))),"")</f>
        <v/>
      </c>
      <c r="U69" s="2">
        <f>IFERROR(IF(L69="","",(L69-MIN($L$2:$L$127))/(MAX($L$2:$L$127)-MIN($L$2:$L$127))),"")</f>
        <v/>
      </c>
      <c r="V69" s="2">
        <f>IF(Q69="","",W_space*Q69+W_service*IF(S69="",0,S69)+W_cat*IF(T69="",0,T69)+W_itin*IF(U69="",0,U69))</f>
        <v/>
      </c>
      <c r="W69" s="2">
        <f>IF(OR(V69="",J69=""),"",V69/(J69/1000))</f>
        <v/>
      </c>
      <c r="X69" s="2">
        <f>IF(F69="",PenMissing,1)*IF(G69="",PenMissing,1)*IF(I69="",PenMissing,1)*IF(J69="",PenMissing,1)</f>
        <v/>
      </c>
      <c r="Y69" s="2">
        <f>IFERROR(IF(W69="","",100*(W69-MIN($W$2:$W$127))/(MAX($W$2:$W$127)-MIN($W$2:$W$127))),"")</f>
        <v/>
      </c>
      <c r="Z69" s="2">
        <f>IF(Y69="","",ROUND(Y69*X69,1))</f>
        <v/>
      </c>
      <c r="AA69" t="inlineStr">
        <is>
          <t>no_engine_data, missing_length_m, missing_beam_m, missing_speed_kn, missing_crew_count, missing_price_per_day</t>
        </is>
      </c>
    </row>
    <row r="70">
      <c r="A70" s="2">
        <f>IF(Z70="","",RANK(Z70,$Z$2:$Z$127))</f>
        <v/>
      </c>
      <c r="B70" t="inlineStr">
        <is>
          <t>Floreana</t>
        </is>
      </c>
      <c r="C70" t="inlineStr">
        <is>
          <t>Budget</t>
        </is>
      </c>
      <c r="D70" s="3" t="n">
        <v>16</v>
      </c>
      <c r="E70" s="3" t="n">
        <v>8</v>
      </c>
      <c r="F70" s="3" t="n">
        <v>23.8</v>
      </c>
      <c r="G70" s="3" t="n"/>
      <c r="H70" s="3" t="n"/>
      <c r="I70" s="3" t="n"/>
      <c r="J70" s="3" t="n"/>
      <c r="K70" s="3" t="n"/>
      <c r="L70" t="n">
        <v>63.6</v>
      </c>
      <c r="M70" s="2">
        <f>IF(OR(F70="",G70="",D70=""),"",ROUND(F70*G70/D70,1))</f>
        <v/>
      </c>
      <c r="N70" s="2">
        <f>IF(OR(H70="",D70=""),"",ROUND(H70/D70,1))</f>
        <v/>
      </c>
      <c r="O70" s="2">
        <f>IFERROR(IF(M70="","",(M70-MIN($M$2:$M$127))/(MAX($M$2:$M$127)-MIN($M$2:$M$127))),"")</f>
        <v/>
      </c>
      <c r="P70" s="2">
        <f>IFERROR(IF(N70="","",(N70-MIN($N$2:$N$127))/(MAX($N$2:$N$127)-MIN($N$2:$N$127))),"")</f>
        <v/>
      </c>
      <c r="Q70" s="2">
        <f>IF(O70="","",IF(P70="",O70,(O70+P70)/2))</f>
        <v/>
      </c>
      <c r="R70" s="2">
        <f>IF(OR(I70="",D70=""),"",I70/D70)</f>
        <v/>
      </c>
      <c r="S70" s="2">
        <f>IFERROR(IF(R70="","",(R70-MIN($R$2:$R$127))/(MAX($R$2:$R$127)-MIN($R$2:$R$127))),"")</f>
        <v/>
      </c>
      <c r="T70" s="2">
        <f>IFERROR(IF(K70="","",(K70-MIN($K$2:$K$127))/(MAX($K$2:$K$127)-MIN($K$2:$K$127))),"")</f>
        <v/>
      </c>
      <c r="U70" s="2">
        <f>IFERROR(IF(L70="","",(L70-MIN($L$2:$L$127))/(MAX($L$2:$L$127)-MIN($L$2:$L$127))),"")</f>
        <v/>
      </c>
      <c r="V70" s="2">
        <f>IF(Q70="","",W_space*Q70+W_service*IF(S70="",0,S70)+W_cat*IF(T70="",0,T70)+W_itin*IF(U70="",0,U70))</f>
        <v/>
      </c>
      <c r="W70" s="2">
        <f>IF(OR(V70="",J70=""),"",V70/(J70/1000))</f>
        <v/>
      </c>
      <c r="X70" s="2">
        <f>IF(F70="",PenMissing,1)*IF(G70="",PenMissing,1)*IF(I70="",PenMissing,1)*IF(J70="",PenMissing,1)</f>
        <v/>
      </c>
      <c r="Y70" s="2">
        <f>IFERROR(IF(W70="","",100*(W70-MIN($W$2:$W$127))/(MAX($W$2:$W$127)-MIN($W$2:$W$127))),"")</f>
        <v/>
      </c>
      <c r="Z70" s="2">
        <f>IF(Y70="","",ROUND(Y70*X70,1))</f>
        <v/>
      </c>
      <c r="AA70" t="inlineStr">
        <is>
          <t>no_engine_data, missing_beam_m, missing_crew_count, missing_price_per_day</t>
        </is>
      </c>
    </row>
    <row r="71">
      <c r="A71" s="2">
        <f>IF(Z71="","",RANK(Z71,$Z$2:$Z$127))</f>
        <v/>
      </c>
      <c r="B71" t="inlineStr">
        <is>
          <t>Fragata</t>
        </is>
      </c>
      <c r="C71" t="inlineStr">
        <is>
          <t>Classic</t>
        </is>
      </c>
      <c r="D71" s="3" t="n">
        <v>16</v>
      </c>
      <c r="E71" s="3" t="n">
        <v>8</v>
      </c>
      <c r="F71" s="3" t="n">
        <v>22</v>
      </c>
      <c r="G71" s="3" t="n"/>
      <c r="H71" s="3" t="n"/>
      <c r="I71" s="3" t="n">
        <v>4</v>
      </c>
      <c r="J71" s="3" t="n">
        <v>2137</v>
      </c>
      <c r="K71" s="3" t="n">
        <v>3</v>
      </c>
      <c r="L71" t="n">
        <v>63.9</v>
      </c>
      <c r="M71" s="2">
        <f>IF(OR(F71="",G71="",D71=""),"",ROUND(F71*G71/D71,1))</f>
        <v/>
      </c>
      <c r="N71" s="2">
        <f>IF(OR(H71="",D71=""),"",ROUND(H71/D71,1))</f>
        <v/>
      </c>
      <c r="O71" s="2">
        <f>IFERROR(IF(M71="","",(M71-MIN($M$2:$M$127))/(MAX($M$2:$M$127)-MIN($M$2:$M$127))),"")</f>
        <v/>
      </c>
      <c r="P71" s="2">
        <f>IFERROR(IF(N71="","",(N71-MIN($N$2:$N$127))/(MAX($N$2:$N$127)-MIN($N$2:$N$127))),"")</f>
        <v/>
      </c>
      <c r="Q71" s="2">
        <f>IF(O71="","",IF(P71="",O71,(O71+P71)/2))</f>
        <v/>
      </c>
      <c r="R71" s="2">
        <f>IF(OR(I71="",D71=""),"",I71/D71)</f>
        <v/>
      </c>
      <c r="S71" s="2">
        <f>IFERROR(IF(R71="","",(R71-MIN($R$2:$R$127))/(MAX($R$2:$R$127)-MIN($R$2:$R$127))),"")</f>
        <v/>
      </c>
      <c r="T71" s="2">
        <f>IFERROR(IF(K71="","",(K71-MIN($K$2:$K$127))/(MAX($K$2:$K$127)-MIN($K$2:$K$127))),"")</f>
        <v/>
      </c>
      <c r="U71" s="2">
        <f>IFERROR(IF(L71="","",(L71-MIN($L$2:$L$127))/(MAX($L$2:$L$127)-MIN($L$2:$L$127))),"")</f>
        <v/>
      </c>
      <c r="V71" s="2">
        <f>IF(Q71="","",W_space*Q71+W_service*IF(S71="",0,S71)+W_cat*IF(T71="",0,T71)+W_itin*IF(U71="",0,U71))</f>
        <v/>
      </c>
      <c r="W71" s="2">
        <f>IF(OR(V71="",J71=""),"",V71/(J71/1000))</f>
        <v/>
      </c>
      <c r="X71" s="2">
        <f>IF(F71="",PenMissing,1)*IF(G71="",PenMissing,1)*IF(I71="",PenMissing,1)*IF(J71="",PenMissing,1)</f>
        <v/>
      </c>
      <c r="Y71" s="2">
        <f>IFERROR(IF(W71="","",100*(W71-MIN($W$2:$W$127))/(MAX($W$2:$W$127)-MIN($W$2:$W$127))),"")</f>
        <v/>
      </c>
      <c r="Z71" s="2">
        <f>IF(Y71="","",ROUND(Y71*X71,1))</f>
        <v/>
      </c>
      <c r="AA71" t="inlineStr">
        <is>
          <t>missing_beam_m</t>
        </is>
      </c>
    </row>
    <row r="72">
      <c r="A72" s="2">
        <f>IF(Z72="","",RANK(Z72,$Z$2:$Z$127))</f>
        <v/>
      </c>
      <c r="B72" t="inlineStr">
        <is>
          <t>Galaxy</t>
        </is>
      </c>
      <c r="C72" t="inlineStr">
        <is>
          <t>Premium</t>
        </is>
      </c>
      <c r="D72" s="3" t="n">
        <v>16</v>
      </c>
      <c r="E72" s="3" t="n">
        <v>9</v>
      </c>
      <c r="F72" s="3" t="n">
        <v>35</v>
      </c>
      <c r="G72" s="3" t="n"/>
      <c r="H72" s="3" t="n"/>
      <c r="I72" s="3" t="n">
        <v>9</v>
      </c>
      <c r="J72" s="3" t="n">
        <v>2600</v>
      </c>
      <c r="K72" s="3" t="n">
        <v>4</v>
      </c>
      <c r="L72" t="n">
        <v>61.3</v>
      </c>
      <c r="M72" s="2">
        <f>IF(OR(F72="",G72="",D72=""),"",ROUND(F72*G72/D72,1))</f>
        <v/>
      </c>
      <c r="N72" s="2">
        <f>IF(OR(H72="",D72=""),"",ROUND(H72/D72,1))</f>
        <v/>
      </c>
      <c r="O72" s="2">
        <f>IFERROR(IF(M72="","",(M72-MIN($M$2:$M$127))/(MAX($M$2:$M$127)-MIN($M$2:$M$127))),"")</f>
        <v/>
      </c>
      <c r="P72" s="2">
        <f>IFERROR(IF(N72="","",(N72-MIN($N$2:$N$127))/(MAX($N$2:$N$127)-MIN($N$2:$N$127))),"")</f>
        <v/>
      </c>
      <c r="Q72" s="2">
        <f>IF(O72="","",IF(P72="",O72,(O72+P72)/2))</f>
        <v/>
      </c>
      <c r="R72" s="2">
        <f>IF(OR(I72="",D72=""),"",I72/D72)</f>
        <v/>
      </c>
      <c r="S72" s="2">
        <f>IFERROR(IF(R72="","",(R72-MIN($R$2:$R$127))/(MAX($R$2:$R$127)-MIN($R$2:$R$127))),"")</f>
        <v/>
      </c>
      <c r="T72" s="2">
        <f>IFERROR(IF(K72="","",(K72-MIN($K$2:$K$127))/(MAX($K$2:$K$127)-MIN($K$2:$K$127))),"")</f>
        <v/>
      </c>
      <c r="U72" s="2">
        <f>IFERROR(IF(L72="","",(L72-MIN($L$2:$L$127))/(MAX($L$2:$L$127)-MIN($L$2:$L$127))),"")</f>
        <v/>
      </c>
      <c r="V72" s="2">
        <f>IF(Q72="","",W_space*Q72+W_service*IF(S72="",0,S72)+W_cat*IF(T72="",0,T72)+W_itin*IF(U72="",0,U72))</f>
        <v/>
      </c>
      <c r="W72" s="2">
        <f>IF(OR(V72="",J72=""),"",V72/(J72/1000))</f>
        <v/>
      </c>
      <c r="X72" s="2">
        <f>IF(F72="",PenMissing,1)*IF(G72="",PenMissing,1)*IF(I72="",PenMissing,1)*IF(J72="",PenMissing,1)</f>
        <v/>
      </c>
      <c r="Y72" s="2">
        <f>IFERROR(IF(W72="","",100*(W72-MIN($W$2:$W$127))/(MAX($W$2:$W$127)-MIN($W$2:$W$127))),"")</f>
        <v/>
      </c>
      <c r="Z72" s="2">
        <f>IF(Y72="","",ROUND(Y72*X72,1))</f>
        <v/>
      </c>
      <c r="AA72" t="inlineStr">
        <is>
          <t>length_ft_m_mismatch, missing_beam_m</t>
        </is>
      </c>
    </row>
    <row r="73">
      <c r="A73" s="2">
        <f>IF(Z73="","",RANK(Z73,$Z$2:$Z$127))</f>
        <v/>
      </c>
      <c r="B73" t="inlineStr">
        <is>
          <t>Galaxy Diver</t>
        </is>
      </c>
      <c r="C73" t="inlineStr">
        <is>
          <t>Tourist Superior</t>
        </is>
      </c>
      <c r="D73" s="3" t="n">
        <v>12</v>
      </c>
      <c r="E73" s="3" t="n">
        <v>8</v>
      </c>
      <c r="F73" s="3" t="n"/>
      <c r="G73" s="3" t="n"/>
      <c r="H73" s="3" t="n"/>
      <c r="I73" s="3" t="n"/>
      <c r="J73" s="3" t="n"/>
      <c r="K73" s="3" t="n"/>
      <c r="M73" s="2">
        <f>IF(OR(F73="",G73="",D73=""),"",ROUND(F73*G73/D73,1))</f>
        <v/>
      </c>
      <c r="N73" s="2">
        <f>IF(OR(H73="",D73=""),"",ROUND(H73/D73,1))</f>
        <v/>
      </c>
      <c r="O73" s="2">
        <f>IFERROR(IF(M73="","",(M73-MIN($M$2:$M$127))/(MAX($M$2:$M$127)-MIN($M$2:$M$127))),"")</f>
        <v/>
      </c>
      <c r="P73" s="2">
        <f>IFERROR(IF(N73="","",(N73-MIN($N$2:$N$127))/(MAX($N$2:$N$127)-MIN($N$2:$N$127))),"")</f>
        <v/>
      </c>
      <c r="Q73" s="2">
        <f>IF(O73="","",IF(P73="",O73,(O73+P73)/2))</f>
        <v/>
      </c>
      <c r="R73" s="2">
        <f>IF(OR(I73="",D73=""),"",I73/D73)</f>
        <v/>
      </c>
      <c r="S73" s="2">
        <f>IFERROR(IF(R73="","",(R73-MIN($R$2:$R$127))/(MAX($R$2:$R$127)-MIN($R$2:$R$127))),"")</f>
        <v/>
      </c>
      <c r="T73" s="2">
        <f>IFERROR(IF(K73="","",(K73-MIN($K$2:$K$127))/(MAX($K$2:$K$127)-MIN($K$2:$K$127))),"")</f>
        <v/>
      </c>
      <c r="U73" s="2">
        <f>IFERROR(IF(L73="","",(L73-MIN($L$2:$L$127))/(MAX($L$2:$L$127)-MIN($L$2:$L$127))),"")</f>
        <v/>
      </c>
      <c r="V73" s="2">
        <f>IF(Q73="","",W_space*Q73+W_service*IF(S73="",0,S73)+W_cat*IF(T73="",0,T73)+W_itin*IF(U73="",0,U73))</f>
        <v/>
      </c>
      <c r="W73" s="2">
        <f>IF(OR(V73="",J73=""),"",V73/(J73/1000))</f>
        <v/>
      </c>
      <c r="X73" s="2">
        <f>IF(F73="",PenMissing,1)*IF(G73="",PenMissing,1)*IF(I73="",PenMissing,1)*IF(J73="",PenMissing,1)</f>
        <v/>
      </c>
      <c r="Y73" s="2">
        <f>IFERROR(IF(W73="","",100*(W73-MIN($W$2:$W$127))/(MAX($W$2:$W$127)-MIN($W$2:$W$127))),"")</f>
        <v/>
      </c>
      <c r="Z73" s="2">
        <f>IF(Y73="","",ROUND(Y73*X73,1))</f>
        <v/>
      </c>
      <c r="AA73" t="inlineStr">
        <is>
          <t>no_engine_data, missing_length_m, missing_beam_m, missing_speed_kn, missing_crew_count, missing_price_per_day</t>
        </is>
      </c>
    </row>
    <row r="74">
      <c r="A74" s="2">
        <f>IF(Z74="","",RANK(Z74,$Z$2:$Z$127))</f>
        <v/>
      </c>
      <c r="B74" t="inlineStr">
        <is>
          <t>Galaxy Diver Ii</t>
        </is>
      </c>
      <c r="C74" t="inlineStr">
        <is>
          <t>Premium</t>
        </is>
      </c>
      <c r="D74" s="3" t="n">
        <v>16</v>
      </c>
      <c r="E74" s="3" t="n">
        <v>9</v>
      </c>
      <c r="F74" s="3" t="n">
        <v>25</v>
      </c>
      <c r="G74" s="3" t="n">
        <v>6</v>
      </c>
      <c r="H74" s="3" t="n"/>
      <c r="I74" s="3" t="n">
        <v>9</v>
      </c>
      <c r="J74" s="3" t="n"/>
      <c r="K74" s="3" t="n">
        <v>4</v>
      </c>
      <c r="M74" s="2">
        <f>IF(OR(F74="",G74="",D74=""),"",ROUND(F74*G74/D74,1))</f>
        <v/>
      </c>
      <c r="N74" s="2">
        <f>IF(OR(H74="",D74=""),"",ROUND(H74/D74,1))</f>
        <v/>
      </c>
      <c r="O74" s="2">
        <f>IFERROR(IF(M74="","",(M74-MIN($M$2:$M$127))/(MAX($M$2:$M$127)-MIN($M$2:$M$127))),"")</f>
        <v/>
      </c>
      <c r="P74" s="2">
        <f>IFERROR(IF(N74="","",(N74-MIN($N$2:$N$127))/(MAX($N$2:$N$127)-MIN($N$2:$N$127))),"")</f>
        <v/>
      </c>
      <c r="Q74" s="2">
        <f>IF(O74="","",IF(P74="",O74,(O74+P74)/2))</f>
        <v/>
      </c>
      <c r="R74" s="2">
        <f>IF(OR(I74="",D74=""),"",I74/D74)</f>
        <v/>
      </c>
      <c r="S74" s="2">
        <f>IFERROR(IF(R74="","",(R74-MIN($R$2:$R$127))/(MAX($R$2:$R$127)-MIN($R$2:$R$127))),"")</f>
        <v/>
      </c>
      <c r="T74" s="2">
        <f>IFERROR(IF(K74="","",(K74-MIN($K$2:$K$127))/(MAX($K$2:$K$127)-MIN($K$2:$K$127))),"")</f>
        <v/>
      </c>
      <c r="U74" s="2">
        <f>IFERROR(IF(L74="","",(L74-MIN($L$2:$L$127))/(MAX($L$2:$L$127)-MIN($L$2:$L$127))),"")</f>
        <v/>
      </c>
      <c r="V74" s="2">
        <f>IF(Q74="","",W_space*Q74+W_service*IF(S74="",0,S74)+W_cat*IF(T74="",0,T74)+W_itin*IF(U74="",0,U74))</f>
        <v/>
      </c>
      <c r="W74" s="2">
        <f>IF(OR(V74="",J74=""),"",V74/(J74/1000))</f>
        <v/>
      </c>
      <c r="X74" s="2">
        <f>IF(F74="",PenMissing,1)*IF(G74="",PenMissing,1)*IF(I74="",PenMissing,1)*IF(J74="",PenMissing,1)</f>
        <v/>
      </c>
      <c r="Y74" s="2">
        <f>IFERROR(IF(W74="","",100*(W74-MIN($W$2:$W$127))/(MAX($W$2:$W$127)-MIN($W$2:$W$127))),"")</f>
        <v/>
      </c>
      <c r="Z74" s="2">
        <f>IF(Y74="","",ROUND(Y74*X74,1))</f>
        <v/>
      </c>
      <c r="AA74" t="inlineStr">
        <is>
          <t>length_ft_m_mismatch, missing_price_per_day</t>
        </is>
      </c>
    </row>
    <row r="75">
      <c r="A75" s="2">
        <f>IF(Z75="","",RANK(Z75,$Z$2:$Z$127))</f>
        <v/>
      </c>
      <c r="B75" t="inlineStr">
        <is>
          <t>Galaxy Diver Ii Naturalist</t>
        </is>
      </c>
      <c r="D75" s="3" t="n">
        <v>16</v>
      </c>
      <c r="E75" s="3" t="n">
        <v>9</v>
      </c>
      <c r="F75" s="3" t="n"/>
      <c r="G75" s="3" t="n">
        <v>6</v>
      </c>
      <c r="H75" s="3" t="n"/>
      <c r="I75" s="3" t="n">
        <v>10</v>
      </c>
      <c r="J75" s="3" t="n">
        <v>5800</v>
      </c>
      <c r="K75" s="3" t="n">
        <v>4</v>
      </c>
      <c r="M75" s="2">
        <f>IF(OR(F75="",G75="",D75=""),"",ROUND(F75*G75/D75,1))</f>
        <v/>
      </c>
      <c r="N75" s="2">
        <f>IF(OR(H75="",D75=""),"",ROUND(H75/D75,1))</f>
        <v/>
      </c>
      <c r="O75" s="2">
        <f>IFERROR(IF(M75="","",(M75-MIN($M$2:$M$127))/(MAX($M$2:$M$127)-MIN($M$2:$M$127))),"")</f>
        <v/>
      </c>
      <c r="P75" s="2">
        <f>IFERROR(IF(N75="","",(N75-MIN($N$2:$N$127))/(MAX($N$2:$N$127)-MIN($N$2:$N$127))),"")</f>
        <v/>
      </c>
      <c r="Q75" s="2">
        <f>IF(O75="","",IF(P75="",O75,(O75+P75)/2))</f>
        <v/>
      </c>
      <c r="R75" s="2">
        <f>IF(OR(I75="",D75=""),"",I75/D75)</f>
        <v/>
      </c>
      <c r="S75" s="2">
        <f>IFERROR(IF(R75="","",(R75-MIN($R$2:$R$127))/(MAX($R$2:$R$127)-MIN($R$2:$R$127))),"")</f>
        <v/>
      </c>
      <c r="T75" s="2">
        <f>IFERROR(IF(K75="","",(K75-MIN($K$2:$K$127))/(MAX($K$2:$K$127)-MIN($K$2:$K$127))),"")</f>
        <v/>
      </c>
      <c r="U75" s="2">
        <f>IFERROR(IF(L75="","",(L75-MIN($L$2:$L$127))/(MAX($L$2:$L$127)-MIN($L$2:$L$127))),"")</f>
        <v/>
      </c>
      <c r="V75" s="2">
        <f>IF(Q75="","",W_space*Q75+W_service*IF(S75="",0,S75)+W_cat*IF(T75="",0,T75)+W_itin*IF(U75="",0,U75))</f>
        <v/>
      </c>
      <c r="W75" s="2">
        <f>IF(OR(V75="",J75=""),"",V75/(J75/1000))</f>
        <v/>
      </c>
      <c r="X75" s="2">
        <f>IF(F75="",PenMissing,1)*IF(G75="",PenMissing,1)*IF(I75="",PenMissing,1)*IF(J75="",PenMissing,1)</f>
        <v/>
      </c>
      <c r="Y75" s="2">
        <f>IFERROR(IF(W75="","",100*(W75-MIN($W$2:$W$127))/(MAX($W$2:$W$127)-MIN($W$2:$W$127))),"")</f>
        <v/>
      </c>
      <c r="Z75" s="2">
        <f>IF(Y75="","",ROUND(Y75*X75,1))</f>
        <v/>
      </c>
      <c r="AA75" t="inlineStr">
        <is>
          <t>length_ft_m_mismatch, missing_length_m</t>
        </is>
      </c>
    </row>
    <row r="76">
      <c r="A76" s="2">
        <f>IF(Z76="","",RANK(Z76,$Z$2:$Z$127))</f>
        <v/>
      </c>
      <c r="B76" t="inlineStr">
        <is>
          <t>Galaxy Orion</t>
        </is>
      </c>
      <c r="C76" t="inlineStr">
        <is>
          <t>Classic</t>
        </is>
      </c>
      <c r="D76" s="3" t="n">
        <v>14</v>
      </c>
      <c r="E76" s="3" t="n">
        <v>9</v>
      </c>
      <c r="F76" s="3" t="n"/>
      <c r="G76" s="3" t="n">
        <v>6</v>
      </c>
      <c r="H76" s="3" t="n"/>
      <c r="I76" s="3" t="n">
        <v>9</v>
      </c>
      <c r="J76" s="3" t="n">
        <v>1800</v>
      </c>
      <c r="K76" s="3" t="n">
        <v>3</v>
      </c>
      <c r="M76" s="2">
        <f>IF(OR(F76="",G76="",D76=""),"",ROUND(F76*G76/D76,1))</f>
        <v/>
      </c>
      <c r="N76" s="2">
        <f>IF(OR(H76="",D76=""),"",ROUND(H76/D76,1))</f>
        <v/>
      </c>
      <c r="O76" s="2">
        <f>IFERROR(IF(M76="","",(M76-MIN($M$2:$M$127))/(MAX($M$2:$M$127)-MIN($M$2:$M$127))),"")</f>
        <v/>
      </c>
      <c r="P76" s="2">
        <f>IFERROR(IF(N76="","",(N76-MIN($N$2:$N$127))/(MAX($N$2:$N$127)-MIN($N$2:$N$127))),"")</f>
        <v/>
      </c>
      <c r="Q76" s="2">
        <f>IF(O76="","",IF(P76="",O76,(O76+P76)/2))</f>
        <v/>
      </c>
      <c r="R76" s="2">
        <f>IF(OR(I76="",D76=""),"",I76/D76)</f>
        <v/>
      </c>
      <c r="S76" s="2">
        <f>IFERROR(IF(R76="","",(R76-MIN($R$2:$R$127))/(MAX($R$2:$R$127)-MIN($R$2:$R$127))),"")</f>
        <v/>
      </c>
      <c r="T76" s="2">
        <f>IFERROR(IF(K76="","",(K76-MIN($K$2:$K$127))/(MAX($K$2:$K$127)-MIN($K$2:$K$127))),"")</f>
        <v/>
      </c>
      <c r="U76" s="2">
        <f>IFERROR(IF(L76="","",(L76-MIN($L$2:$L$127))/(MAX($L$2:$L$127)-MIN($L$2:$L$127))),"")</f>
        <v/>
      </c>
      <c r="V76" s="2">
        <f>IF(Q76="","",W_space*Q76+W_service*IF(S76="",0,S76)+W_cat*IF(T76="",0,T76)+W_itin*IF(U76="",0,U76))</f>
        <v/>
      </c>
      <c r="W76" s="2">
        <f>IF(OR(V76="",J76=""),"",V76/(J76/1000))</f>
        <v/>
      </c>
      <c r="X76" s="2">
        <f>IF(F76="",PenMissing,1)*IF(G76="",PenMissing,1)*IF(I76="",PenMissing,1)*IF(J76="",PenMissing,1)</f>
        <v/>
      </c>
      <c r="Y76" s="2">
        <f>IFERROR(IF(W76="","",100*(W76-MIN($W$2:$W$127))/(MAX($W$2:$W$127)-MIN($W$2:$W$127))),"")</f>
        <v/>
      </c>
      <c r="Z76" s="2">
        <f>IF(Y76="","",ROUND(Y76*X76,1))</f>
        <v/>
      </c>
      <c r="AA76" t="inlineStr">
        <is>
          <t>length_ft_m_mismatch, length_ft_m_mismatch, missing_length_m</t>
        </is>
      </c>
    </row>
    <row r="77">
      <c r="A77" s="2">
        <f>IF(Z77="","",RANK(Z77,$Z$2:$Z$127))</f>
        <v/>
      </c>
      <c r="B77" t="inlineStr">
        <is>
          <t>Galaxy Sirius</t>
        </is>
      </c>
      <c r="C77" t="inlineStr">
        <is>
          <t>Luxury</t>
        </is>
      </c>
      <c r="D77" s="3" t="n">
        <v>16</v>
      </c>
      <c r="E77" s="3" t="n">
        <v>9</v>
      </c>
      <c r="F77" s="3" t="n"/>
      <c r="G77" s="3" t="n"/>
      <c r="H77" s="3" t="n"/>
      <c r="I77" s="3" t="n">
        <v>10</v>
      </c>
      <c r="J77" s="3" t="n">
        <v>5700</v>
      </c>
      <c r="K77" s="3" t="n">
        <v>5</v>
      </c>
      <c r="M77" s="2">
        <f>IF(OR(F77="",G77="",D77=""),"",ROUND(F77*G77/D77,1))</f>
        <v/>
      </c>
      <c r="N77" s="2">
        <f>IF(OR(H77="",D77=""),"",ROUND(H77/D77,1))</f>
        <v/>
      </c>
      <c r="O77" s="2">
        <f>IFERROR(IF(M77="","",(M77-MIN($M$2:$M$127))/(MAX($M$2:$M$127)-MIN($M$2:$M$127))),"")</f>
        <v/>
      </c>
      <c r="P77" s="2">
        <f>IFERROR(IF(N77="","",(N77-MIN($N$2:$N$127))/(MAX($N$2:$N$127)-MIN($N$2:$N$127))),"")</f>
        <v/>
      </c>
      <c r="Q77" s="2">
        <f>IF(O77="","",IF(P77="",O77,(O77+P77)/2))</f>
        <v/>
      </c>
      <c r="R77" s="2">
        <f>IF(OR(I77="",D77=""),"",I77/D77)</f>
        <v/>
      </c>
      <c r="S77" s="2">
        <f>IFERROR(IF(R77="","",(R77-MIN($R$2:$R$127))/(MAX($R$2:$R$127)-MIN($R$2:$R$127))),"")</f>
        <v/>
      </c>
      <c r="T77" s="2">
        <f>IFERROR(IF(K77="","",(K77-MIN($K$2:$K$127))/(MAX($K$2:$K$127)-MIN($K$2:$K$127))),"")</f>
        <v/>
      </c>
      <c r="U77" s="2">
        <f>IFERROR(IF(L77="","",(L77-MIN($L$2:$L$127))/(MAX($L$2:$L$127)-MIN($L$2:$L$127))),"")</f>
        <v/>
      </c>
      <c r="V77" s="2">
        <f>IF(Q77="","",W_space*Q77+W_service*IF(S77="",0,S77)+W_cat*IF(T77="",0,T77)+W_itin*IF(U77="",0,U77))</f>
        <v/>
      </c>
      <c r="W77" s="2">
        <f>IF(OR(V77="",J77=""),"",V77/(J77/1000))</f>
        <v/>
      </c>
      <c r="X77" s="2">
        <f>IF(F77="",PenMissing,1)*IF(G77="",PenMissing,1)*IF(I77="",PenMissing,1)*IF(J77="",PenMissing,1)</f>
        <v/>
      </c>
      <c r="Y77" s="2">
        <f>IFERROR(IF(W77="","",100*(W77-MIN($W$2:$W$127))/(MAX($W$2:$W$127)-MIN($W$2:$W$127))),"")</f>
        <v/>
      </c>
      <c r="Z77" s="2">
        <f>IF(Y77="","",ROUND(Y77*X77,1))</f>
        <v/>
      </c>
      <c r="AA77" t="inlineStr">
        <is>
          <t>length_out_of_range, length_out_of_range, missing_length_m, missing_beam_m</t>
        </is>
      </c>
    </row>
    <row r="78">
      <c r="A78" s="2">
        <f>IF(Z78="","",RANK(Z78,$Z$2:$Z$127))</f>
        <v/>
      </c>
      <c r="B78" t="inlineStr">
        <is>
          <t>Go Quito Hotel</t>
        </is>
      </c>
      <c r="D78" s="3" t="n"/>
      <c r="E78" s="3" t="n"/>
      <c r="F78" s="3" t="n"/>
      <c r="G78" s="3" t="n"/>
      <c r="H78" s="3" t="n"/>
      <c r="I78" s="3" t="n"/>
      <c r="J78" s="3" t="n"/>
      <c r="K78" s="3" t="n"/>
      <c r="M78" s="2">
        <f>IF(OR(F78="",G78="",D78=""),"",ROUND(F78*G78/D78,1))</f>
        <v/>
      </c>
      <c r="N78" s="2">
        <f>IF(OR(H78="",D78=""),"",ROUND(H78/D78,1))</f>
        <v/>
      </c>
      <c r="O78" s="2">
        <f>IFERROR(IF(M78="","",(M78-MIN($M$2:$M$127))/(MAX($M$2:$M$127)-MIN($M$2:$M$127))),"")</f>
        <v/>
      </c>
      <c r="P78" s="2">
        <f>IFERROR(IF(N78="","",(N78-MIN($N$2:$N$127))/(MAX($N$2:$N$127)-MIN($N$2:$N$127))),"")</f>
        <v/>
      </c>
      <c r="Q78" s="2">
        <f>IF(O78="","",IF(P78="",O78,(O78+P78)/2))</f>
        <v/>
      </c>
      <c r="R78" s="2">
        <f>IF(OR(I78="",D78=""),"",I78/D78)</f>
        <v/>
      </c>
      <c r="S78" s="2">
        <f>IFERROR(IF(R78="","",(R78-MIN($R$2:$R$127))/(MAX($R$2:$R$127)-MIN($R$2:$R$127))),"")</f>
        <v/>
      </c>
      <c r="T78" s="2">
        <f>IFERROR(IF(K78="","",(K78-MIN($K$2:$K$127))/(MAX($K$2:$K$127)-MIN($K$2:$K$127))),"")</f>
        <v/>
      </c>
      <c r="U78" s="2">
        <f>IFERROR(IF(L78="","",(L78-MIN($L$2:$L$127))/(MAX($L$2:$L$127)-MIN($L$2:$L$127))),"")</f>
        <v/>
      </c>
      <c r="V78" s="2">
        <f>IF(Q78="","",W_space*Q78+W_service*IF(S78="",0,S78)+W_cat*IF(T78="",0,T78)+W_itin*IF(U78="",0,U78))</f>
        <v/>
      </c>
      <c r="W78" s="2">
        <f>IF(OR(V78="",J78=""),"",V78/(J78/1000))</f>
        <v/>
      </c>
      <c r="X78" s="2">
        <f>IF(F78="",PenMissing,1)*IF(G78="",PenMissing,1)*IF(I78="",PenMissing,1)*IF(J78="",PenMissing,1)</f>
        <v/>
      </c>
      <c r="Y78" s="2">
        <f>IFERROR(IF(W78="","",100*(W78-MIN($W$2:$W$127))/(MAX($W$2:$W$127)-MIN($W$2:$W$127))),"")</f>
        <v/>
      </c>
      <c r="Z78" s="2">
        <f>IF(Y78="","",ROUND(Y78*X78,1))</f>
        <v/>
      </c>
      <c r="AA78" t="inlineStr">
        <is>
          <t>no_engine_data, missing_length_m, missing_beam_m, missing_speed_kn, missing_crew_count, missing_price_per_day</t>
        </is>
      </c>
    </row>
    <row r="79">
      <c r="A79" s="2">
        <f>IF(Z79="","",RANK(Z79,$Z$2:$Z$127))</f>
        <v/>
      </c>
      <c r="B79" t="inlineStr">
        <is>
          <t>Golondrina</t>
        </is>
      </c>
      <c r="C79" t="inlineStr">
        <is>
          <t>Budget</t>
        </is>
      </c>
      <c r="D79" s="3" t="n">
        <v>16</v>
      </c>
      <c r="E79" s="3" t="n">
        <v>8</v>
      </c>
      <c r="F79" s="3" t="n">
        <v>22</v>
      </c>
      <c r="G79" s="3" t="n">
        <v>5</v>
      </c>
      <c r="H79" s="3" t="n"/>
      <c r="I79" s="3" t="n"/>
      <c r="J79" s="3" t="n"/>
      <c r="K79" s="3" t="n"/>
      <c r="L79" t="n">
        <v>62.5</v>
      </c>
      <c r="M79" s="2">
        <f>IF(OR(F79="",G79="",D79=""),"",ROUND(F79*G79/D79,1))</f>
        <v/>
      </c>
      <c r="N79" s="2">
        <f>IF(OR(H79="",D79=""),"",ROUND(H79/D79,1))</f>
        <v/>
      </c>
      <c r="O79" s="2">
        <f>IFERROR(IF(M79="","",(M79-MIN($M$2:$M$127))/(MAX($M$2:$M$127)-MIN($M$2:$M$127))),"")</f>
        <v/>
      </c>
      <c r="P79" s="2">
        <f>IFERROR(IF(N79="","",(N79-MIN($N$2:$N$127))/(MAX($N$2:$N$127)-MIN($N$2:$N$127))),"")</f>
        <v/>
      </c>
      <c r="Q79" s="2">
        <f>IF(O79="","",IF(P79="",O79,(O79+P79)/2))</f>
        <v/>
      </c>
      <c r="R79" s="2">
        <f>IF(OR(I79="",D79=""),"",I79/D79)</f>
        <v/>
      </c>
      <c r="S79" s="2">
        <f>IFERROR(IF(R79="","",(R79-MIN($R$2:$R$127))/(MAX($R$2:$R$127)-MIN($R$2:$R$127))),"")</f>
        <v/>
      </c>
      <c r="T79" s="2">
        <f>IFERROR(IF(K79="","",(K79-MIN($K$2:$K$127))/(MAX($K$2:$K$127)-MIN($K$2:$K$127))),"")</f>
        <v/>
      </c>
      <c r="U79" s="2">
        <f>IFERROR(IF(L79="","",(L79-MIN($L$2:$L$127))/(MAX($L$2:$L$127)-MIN($L$2:$L$127))),"")</f>
        <v/>
      </c>
      <c r="V79" s="2">
        <f>IF(Q79="","",W_space*Q79+W_service*IF(S79="",0,S79)+W_cat*IF(T79="",0,T79)+W_itin*IF(U79="",0,U79))</f>
        <v/>
      </c>
      <c r="W79" s="2">
        <f>IF(OR(V79="",J79=""),"",V79/(J79/1000))</f>
        <v/>
      </c>
      <c r="X79" s="2">
        <f>IF(F79="",PenMissing,1)*IF(G79="",PenMissing,1)*IF(I79="",PenMissing,1)*IF(J79="",PenMissing,1)</f>
        <v/>
      </c>
      <c r="Y79" s="2">
        <f>IFERROR(IF(W79="","",100*(W79-MIN($W$2:$W$127))/(MAX($W$2:$W$127)-MIN($W$2:$W$127))),"")</f>
        <v/>
      </c>
      <c r="Z79" s="2">
        <f>IF(Y79="","",ROUND(Y79*X79,1))</f>
        <v/>
      </c>
      <c r="AA79" t="inlineStr">
        <is>
          <t>no_engine_data, missing_crew_count, missing_price_per_day</t>
        </is>
      </c>
    </row>
    <row r="80">
      <c r="A80" s="2">
        <f>IF(Z80="","",RANK(Z80,$Z$2:$Z$127))</f>
        <v/>
      </c>
      <c r="B80" t="inlineStr">
        <is>
          <t>Grace</t>
        </is>
      </c>
      <c r="C80" t="inlineStr">
        <is>
          <t>Luxury</t>
        </is>
      </c>
      <c r="D80" s="3" t="n">
        <v>16</v>
      </c>
      <c r="E80" s="3" t="n">
        <v>9</v>
      </c>
      <c r="F80" s="3" t="n">
        <v>44</v>
      </c>
      <c r="G80" s="3" t="n">
        <v>7</v>
      </c>
      <c r="H80" s="3" t="n"/>
      <c r="I80" s="3" t="n">
        <v>11</v>
      </c>
      <c r="J80" s="3" t="n"/>
      <c r="K80" s="3" t="n">
        <v>5</v>
      </c>
      <c r="L80" t="n">
        <v>63.7</v>
      </c>
      <c r="M80" s="2">
        <f>IF(OR(F80="",G80="",D80=""),"",ROUND(F80*G80/D80,1))</f>
        <v/>
      </c>
      <c r="N80" s="2">
        <f>IF(OR(H80="",D80=""),"",ROUND(H80/D80,1))</f>
        <v/>
      </c>
      <c r="O80" s="2">
        <f>IFERROR(IF(M80="","",(M80-MIN($M$2:$M$127))/(MAX($M$2:$M$127)-MIN($M$2:$M$127))),"")</f>
        <v/>
      </c>
      <c r="P80" s="2">
        <f>IFERROR(IF(N80="","",(N80-MIN($N$2:$N$127))/(MAX($N$2:$N$127)-MIN($N$2:$N$127))),"")</f>
        <v/>
      </c>
      <c r="Q80" s="2">
        <f>IF(O80="","",IF(P80="",O80,(O80+P80)/2))</f>
        <v/>
      </c>
      <c r="R80" s="2">
        <f>IF(OR(I80="",D80=""),"",I80/D80)</f>
        <v/>
      </c>
      <c r="S80" s="2">
        <f>IFERROR(IF(R80="","",(R80-MIN($R$2:$R$127))/(MAX($R$2:$R$127)-MIN($R$2:$R$127))),"")</f>
        <v/>
      </c>
      <c r="T80" s="2">
        <f>IFERROR(IF(K80="","",(K80-MIN($K$2:$K$127))/(MAX($K$2:$K$127)-MIN($K$2:$K$127))),"")</f>
        <v/>
      </c>
      <c r="U80" s="2">
        <f>IFERROR(IF(L80="","",(L80-MIN($L$2:$L$127))/(MAX($L$2:$L$127)-MIN($L$2:$L$127))),"")</f>
        <v/>
      </c>
      <c r="V80" s="2">
        <f>IF(Q80="","",W_space*Q80+W_service*IF(S80="",0,S80)+W_cat*IF(T80="",0,T80)+W_itin*IF(U80="",0,U80))</f>
        <v/>
      </c>
      <c r="W80" s="2">
        <f>IF(OR(V80="",J80=""),"",V80/(J80/1000))</f>
        <v/>
      </c>
      <c r="X80" s="2">
        <f>IF(F80="",PenMissing,1)*IF(G80="",PenMissing,1)*IF(I80="",PenMissing,1)*IF(J80="",PenMissing,1)</f>
        <v/>
      </c>
      <c r="Y80" s="2">
        <f>IFERROR(IF(W80="","",100*(W80-MIN($W$2:$W$127))/(MAX($W$2:$W$127)-MIN($W$2:$W$127))),"")</f>
        <v/>
      </c>
      <c r="Z80" s="2">
        <f>IF(Y80="","",ROUND(Y80*X80,1))</f>
        <v/>
      </c>
      <c r="AA80" t="inlineStr">
        <is>
          <t>missing_price_per_day</t>
        </is>
      </c>
    </row>
    <row r="81">
      <c r="A81" s="2">
        <f>IF(Z81="","",RANK(Z81,$Z$2:$Z$127))</f>
        <v/>
      </c>
      <c r="B81" t="inlineStr">
        <is>
          <t>Grand Majestic</t>
        </is>
      </c>
      <c r="C81" t="inlineStr">
        <is>
          <t>Luxury</t>
        </is>
      </c>
      <c r="D81" s="3" t="n">
        <v>16</v>
      </c>
      <c r="E81" s="3" t="n">
        <v>8</v>
      </c>
      <c r="F81" s="3" t="n">
        <v>39</v>
      </c>
      <c r="G81" s="3" t="n"/>
      <c r="H81" s="3" t="n"/>
      <c r="I81" s="3" t="n">
        <v>10</v>
      </c>
      <c r="J81" s="3" t="n">
        <v>3145</v>
      </c>
      <c r="K81" s="3" t="n">
        <v>5</v>
      </c>
      <c r="L81" t="n">
        <v>58.5</v>
      </c>
      <c r="M81" s="2">
        <f>IF(OR(F81="",G81="",D81=""),"",ROUND(F81*G81/D81,1))</f>
        <v/>
      </c>
      <c r="N81" s="2">
        <f>IF(OR(H81="",D81=""),"",ROUND(H81/D81,1))</f>
        <v/>
      </c>
      <c r="O81" s="2">
        <f>IFERROR(IF(M81="","",(M81-MIN($M$2:$M$127))/(MAX($M$2:$M$127)-MIN($M$2:$M$127))),"")</f>
        <v/>
      </c>
      <c r="P81" s="2">
        <f>IFERROR(IF(N81="","",(N81-MIN($N$2:$N$127))/(MAX($N$2:$N$127)-MIN($N$2:$N$127))),"")</f>
        <v/>
      </c>
      <c r="Q81" s="2">
        <f>IF(O81="","",IF(P81="",O81,(O81+P81)/2))</f>
        <v/>
      </c>
      <c r="R81" s="2">
        <f>IF(OR(I81="",D81=""),"",I81/D81)</f>
        <v/>
      </c>
      <c r="S81" s="2">
        <f>IFERROR(IF(R81="","",(R81-MIN($R$2:$R$127))/(MAX($R$2:$R$127)-MIN($R$2:$R$127))),"")</f>
        <v/>
      </c>
      <c r="T81" s="2">
        <f>IFERROR(IF(K81="","",(K81-MIN($K$2:$K$127))/(MAX($K$2:$K$127)-MIN($K$2:$K$127))),"")</f>
        <v/>
      </c>
      <c r="U81" s="2">
        <f>IFERROR(IF(L81="","",(L81-MIN($L$2:$L$127))/(MAX($L$2:$L$127)-MIN($L$2:$L$127))),"")</f>
        <v/>
      </c>
      <c r="V81" s="2">
        <f>IF(Q81="","",W_space*Q81+W_service*IF(S81="",0,S81)+W_cat*IF(T81="",0,T81)+W_itin*IF(U81="",0,U81))</f>
        <v/>
      </c>
      <c r="W81" s="2">
        <f>IF(OR(V81="",J81=""),"",V81/(J81/1000))</f>
        <v/>
      </c>
      <c r="X81" s="2">
        <f>IF(F81="",PenMissing,1)*IF(G81="",PenMissing,1)*IF(I81="",PenMissing,1)*IF(J81="",PenMissing,1)</f>
        <v/>
      </c>
      <c r="Y81" s="2">
        <f>IFERROR(IF(W81="","",100*(W81-MIN($W$2:$W$127))/(MAX($W$2:$W$127)-MIN($W$2:$W$127))),"")</f>
        <v/>
      </c>
      <c r="Z81" s="2">
        <f>IF(Y81="","",ROUND(Y81*X81,1))</f>
        <v/>
      </c>
      <c r="AA81" t="inlineStr">
        <is>
          <t>missing_beam_m, missing_speed_kn</t>
        </is>
      </c>
    </row>
    <row r="82">
      <c r="A82" s="2">
        <f>IF(Z82="","",RANK(Z82,$Z$2:$Z$127))</f>
        <v/>
      </c>
      <c r="B82" t="inlineStr">
        <is>
          <t>Grand Ocean Spray</t>
        </is>
      </c>
      <c r="C82" t="inlineStr">
        <is>
          <t>Luxury</t>
        </is>
      </c>
      <c r="D82" s="3" t="n">
        <v>16</v>
      </c>
      <c r="E82" s="3" t="n">
        <v>9</v>
      </c>
      <c r="F82" s="3" t="n">
        <v>20</v>
      </c>
      <c r="G82" s="3" t="n"/>
      <c r="H82" s="3" t="n"/>
      <c r="I82" s="3" t="n">
        <v>11</v>
      </c>
      <c r="J82" s="3" t="n"/>
      <c r="K82" s="3" t="n">
        <v>5</v>
      </c>
      <c r="M82" s="2">
        <f>IF(OR(F82="",G82="",D82=""),"",ROUND(F82*G82/D82,1))</f>
        <v/>
      </c>
      <c r="N82" s="2">
        <f>IF(OR(H82="",D82=""),"",ROUND(H82/D82,1))</f>
        <v/>
      </c>
      <c r="O82" s="2">
        <f>IFERROR(IF(M82="","",(M82-MIN($M$2:$M$127))/(MAX($M$2:$M$127)-MIN($M$2:$M$127))),"")</f>
        <v/>
      </c>
      <c r="P82" s="2">
        <f>IFERROR(IF(N82="","",(N82-MIN($N$2:$N$127))/(MAX($N$2:$N$127)-MIN($N$2:$N$127))),"")</f>
        <v/>
      </c>
      <c r="Q82" s="2">
        <f>IF(O82="","",IF(P82="",O82,(O82+P82)/2))</f>
        <v/>
      </c>
      <c r="R82" s="2">
        <f>IF(OR(I82="",D82=""),"",I82/D82)</f>
        <v/>
      </c>
      <c r="S82" s="2">
        <f>IFERROR(IF(R82="","",(R82-MIN($R$2:$R$127))/(MAX($R$2:$R$127)-MIN($R$2:$R$127))),"")</f>
        <v/>
      </c>
      <c r="T82" s="2">
        <f>IFERROR(IF(K82="","",(K82-MIN($K$2:$K$127))/(MAX($K$2:$K$127)-MIN($K$2:$K$127))),"")</f>
        <v/>
      </c>
      <c r="U82" s="2">
        <f>IFERROR(IF(L82="","",(L82-MIN($L$2:$L$127))/(MAX($L$2:$L$127)-MIN($L$2:$L$127))),"")</f>
        <v/>
      </c>
      <c r="V82" s="2">
        <f>IF(Q82="","",W_space*Q82+W_service*IF(S82="",0,S82)+W_cat*IF(T82="",0,T82)+W_itin*IF(U82="",0,U82))</f>
        <v/>
      </c>
      <c r="W82" s="2">
        <f>IF(OR(V82="",J82=""),"",V82/(J82/1000))</f>
        <v/>
      </c>
      <c r="X82" s="2">
        <f>IF(F82="",PenMissing,1)*IF(G82="",PenMissing,1)*IF(I82="",PenMissing,1)*IF(J82="",PenMissing,1)</f>
        <v/>
      </c>
      <c r="Y82" s="2">
        <f>IFERROR(IF(W82="","",100*(W82-MIN($W$2:$W$127))/(MAX($W$2:$W$127)-MIN($W$2:$W$127))),"")</f>
        <v/>
      </c>
      <c r="Z82" s="2">
        <f>IF(Y82="","",ROUND(Y82*X82,1))</f>
        <v/>
      </c>
      <c r="AA82" t="inlineStr">
        <is>
          <t>length_ft_m_mismatch, no_engine_data, missing_beam_m, missing_price_per_day</t>
        </is>
      </c>
    </row>
    <row r="83">
      <c r="A83" s="2">
        <f>IF(Z83="","",RANK(Z83,$Z$2:$Z$127))</f>
        <v/>
      </c>
      <c r="B83" t="inlineStr">
        <is>
          <t>Hermes</t>
        </is>
      </c>
      <c r="C83" t="inlineStr">
        <is>
          <t>Luxury</t>
        </is>
      </c>
      <c r="D83" s="3" t="n">
        <v>20</v>
      </c>
      <c r="E83" s="3" t="n">
        <v>12</v>
      </c>
      <c r="F83" s="3" t="n">
        <v>50</v>
      </c>
      <c r="G83" s="3" t="n">
        <v>14</v>
      </c>
      <c r="H83" s="3" t="n"/>
      <c r="I83" s="3" t="n">
        <v>15</v>
      </c>
      <c r="J83" s="3" t="n"/>
      <c r="K83" s="3" t="n">
        <v>5</v>
      </c>
      <c r="M83" s="2">
        <f>IF(OR(F83="",G83="",D83=""),"",ROUND(F83*G83/D83,1))</f>
        <v/>
      </c>
      <c r="N83" s="2">
        <f>IF(OR(H83="",D83=""),"",ROUND(H83/D83,1))</f>
        <v/>
      </c>
      <c r="O83" s="2">
        <f>IFERROR(IF(M83="","",(M83-MIN($M$2:$M$127))/(MAX($M$2:$M$127)-MIN($M$2:$M$127))),"")</f>
        <v/>
      </c>
      <c r="P83" s="2">
        <f>IFERROR(IF(N83="","",(N83-MIN($N$2:$N$127))/(MAX($N$2:$N$127)-MIN($N$2:$N$127))),"")</f>
        <v/>
      </c>
      <c r="Q83" s="2">
        <f>IF(O83="","",IF(P83="",O83,(O83+P83)/2))</f>
        <v/>
      </c>
      <c r="R83" s="2">
        <f>IF(OR(I83="",D83=""),"",I83/D83)</f>
        <v/>
      </c>
      <c r="S83" s="2">
        <f>IFERROR(IF(R83="","",(R83-MIN($R$2:$R$127))/(MAX($R$2:$R$127)-MIN($R$2:$R$127))),"")</f>
        <v/>
      </c>
      <c r="T83" s="2">
        <f>IFERROR(IF(K83="","",(K83-MIN($K$2:$K$127))/(MAX($K$2:$K$127)-MIN($K$2:$K$127))),"")</f>
        <v/>
      </c>
      <c r="U83" s="2">
        <f>IFERROR(IF(L83="","",(L83-MIN($L$2:$L$127))/(MAX($L$2:$L$127)-MIN($L$2:$L$127))),"")</f>
        <v/>
      </c>
      <c r="V83" s="2">
        <f>IF(Q83="","",W_space*Q83+W_service*IF(S83="",0,S83)+W_cat*IF(T83="",0,T83)+W_itin*IF(U83="",0,U83))</f>
        <v/>
      </c>
      <c r="W83" s="2">
        <f>IF(OR(V83="",J83=""),"",V83/(J83/1000))</f>
        <v/>
      </c>
      <c r="X83" s="2">
        <f>IF(F83="",PenMissing,1)*IF(G83="",PenMissing,1)*IF(I83="",PenMissing,1)*IF(J83="",PenMissing,1)</f>
        <v/>
      </c>
      <c r="Y83" s="2">
        <f>IFERROR(IF(W83="","",100*(W83-MIN($W$2:$W$127))/(MAX($W$2:$W$127)-MIN($W$2:$W$127))),"")</f>
        <v/>
      </c>
      <c r="Z83" s="2">
        <f>IF(Y83="","",ROUND(Y83*X83,1))</f>
        <v/>
      </c>
      <c r="AA83" t="inlineStr">
        <is>
          <t>missing_price_per_day</t>
        </is>
      </c>
    </row>
    <row r="84">
      <c r="A84" s="2">
        <f>IF(Z84="","",RANK(Z84,$Z$2:$Z$127))</f>
        <v/>
      </c>
      <c r="B84" t="inlineStr">
        <is>
          <t>Humboldt Explorer</t>
        </is>
      </c>
      <c r="C84" t="inlineStr">
        <is>
          <t>Classic</t>
        </is>
      </c>
      <c r="D84" s="3" t="n">
        <v>16</v>
      </c>
      <c r="E84" s="3" t="n">
        <v>8</v>
      </c>
      <c r="F84" s="3" t="n"/>
      <c r="G84" s="3" t="n">
        <v>6</v>
      </c>
      <c r="H84" s="3" t="n"/>
      <c r="I84" s="3" t="n">
        <v>7</v>
      </c>
      <c r="J84" s="3" t="n"/>
      <c r="K84" s="3" t="n">
        <v>4</v>
      </c>
      <c r="M84" s="2">
        <f>IF(OR(F84="",G84="",D84=""),"",ROUND(F84*G84/D84,1))</f>
        <v/>
      </c>
      <c r="N84" s="2">
        <f>IF(OR(H84="",D84=""),"",ROUND(H84/D84,1))</f>
        <v/>
      </c>
      <c r="O84" s="2">
        <f>IFERROR(IF(M84="","",(M84-MIN($M$2:$M$127))/(MAX($M$2:$M$127)-MIN($M$2:$M$127))),"")</f>
        <v/>
      </c>
      <c r="P84" s="2">
        <f>IFERROR(IF(N84="","",(N84-MIN($N$2:$N$127))/(MAX($N$2:$N$127)-MIN($N$2:$N$127))),"")</f>
        <v/>
      </c>
      <c r="Q84" s="2">
        <f>IF(O84="","",IF(P84="",O84,(O84+P84)/2))</f>
        <v/>
      </c>
      <c r="R84" s="2">
        <f>IF(OR(I84="",D84=""),"",I84/D84)</f>
        <v/>
      </c>
      <c r="S84" s="2">
        <f>IFERROR(IF(R84="","",(R84-MIN($R$2:$R$127))/(MAX($R$2:$R$127)-MIN($R$2:$R$127))),"")</f>
        <v/>
      </c>
      <c r="T84" s="2">
        <f>IFERROR(IF(K84="","",(K84-MIN($K$2:$K$127))/(MAX($K$2:$K$127)-MIN($K$2:$K$127))),"")</f>
        <v/>
      </c>
      <c r="U84" s="2">
        <f>IFERROR(IF(L84="","",(L84-MIN($L$2:$L$127))/(MAX($L$2:$L$127)-MIN($L$2:$L$127))),"")</f>
        <v/>
      </c>
      <c r="V84" s="2">
        <f>IF(Q84="","",W_space*Q84+W_service*IF(S84="",0,S84)+W_cat*IF(T84="",0,T84)+W_itin*IF(U84="",0,U84))</f>
        <v/>
      </c>
      <c r="W84" s="2">
        <f>IF(OR(V84="",J84=""),"",V84/(J84/1000))</f>
        <v/>
      </c>
      <c r="X84" s="2">
        <f>IF(F84="",PenMissing,1)*IF(G84="",PenMissing,1)*IF(I84="",PenMissing,1)*IF(J84="",PenMissing,1)</f>
        <v/>
      </c>
      <c r="Y84" s="2">
        <f>IFERROR(IF(W84="","",100*(W84-MIN($W$2:$W$127))/(MAX($W$2:$W$127)-MIN($W$2:$W$127))),"")</f>
        <v/>
      </c>
      <c r="Z84" s="2">
        <f>IF(Y84="","",ROUND(Y84*X84,1))</f>
        <v/>
      </c>
      <c r="AA84" t="inlineStr">
        <is>
          <t>length_ft_m_mismatch, length_out_of_range, no_engine_data, missing_length_m, missing_price_per_day</t>
        </is>
      </c>
    </row>
    <row r="85">
      <c r="A85" s="2">
        <f>IF(Z85="","",RANK(Z85,$Z$2:$Z$127))</f>
        <v/>
      </c>
      <c r="B85" t="inlineStr">
        <is>
          <t>Integrity</t>
        </is>
      </c>
      <c r="C85" t="inlineStr">
        <is>
          <t>Luxury</t>
        </is>
      </c>
      <c r="D85" s="3" t="n">
        <v>16</v>
      </c>
      <c r="E85" s="3" t="n">
        <v>9</v>
      </c>
      <c r="F85" s="3" t="n">
        <v>43</v>
      </c>
      <c r="G85" s="3" t="n">
        <v>3</v>
      </c>
      <c r="H85" s="3" t="n"/>
      <c r="I85" s="3" t="n"/>
      <c r="J85" s="3" t="n"/>
      <c r="K85" s="3" t="n">
        <v>5</v>
      </c>
      <c r="L85" t="n">
        <v>66.7</v>
      </c>
      <c r="M85" s="2">
        <f>IF(OR(F85="",G85="",D85=""),"",ROUND(F85*G85/D85,1))</f>
        <v/>
      </c>
      <c r="N85" s="2">
        <f>IF(OR(H85="",D85=""),"",ROUND(H85/D85,1))</f>
        <v/>
      </c>
      <c r="O85" s="2">
        <f>IFERROR(IF(M85="","",(M85-MIN($M$2:$M$127))/(MAX($M$2:$M$127)-MIN($M$2:$M$127))),"")</f>
        <v/>
      </c>
      <c r="P85" s="2">
        <f>IFERROR(IF(N85="","",(N85-MIN($N$2:$N$127))/(MAX($N$2:$N$127)-MIN($N$2:$N$127))),"")</f>
        <v/>
      </c>
      <c r="Q85" s="2">
        <f>IF(O85="","",IF(P85="",O85,(O85+P85)/2))</f>
        <v/>
      </c>
      <c r="R85" s="2">
        <f>IF(OR(I85="",D85=""),"",I85/D85)</f>
        <v/>
      </c>
      <c r="S85" s="2">
        <f>IFERROR(IF(R85="","",(R85-MIN($R$2:$R$127))/(MAX($R$2:$R$127)-MIN($R$2:$R$127))),"")</f>
        <v/>
      </c>
      <c r="T85" s="2">
        <f>IFERROR(IF(K85="","",(K85-MIN($K$2:$K$127))/(MAX($K$2:$K$127)-MIN($K$2:$K$127))),"")</f>
        <v/>
      </c>
      <c r="U85" s="2">
        <f>IFERROR(IF(L85="","",(L85-MIN($L$2:$L$127))/(MAX($L$2:$L$127)-MIN($L$2:$L$127))),"")</f>
        <v/>
      </c>
      <c r="V85" s="2">
        <f>IF(Q85="","",W_space*Q85+W_service*IF(S85="",0,S85)+W_cat*IF(T85="",0,T85)+W_itin*IF(U85="",0,U85))</f>
        <v/>
      </c>
      <c r="W85" s="2">
        <f>IF(OR(V85="",J85=""),"",V85/(J85/1000))</f>
        <v/>
      </c>
      <c r="X85" s="2">
        <f>IF(F85="",PenMissing,1)*IF(G85="",PenMissing,1)*IF(I85="",PenMissing,1)*IF(J85="",PenMissing,1)</f>
        <v/>
      </c>
      <c r="Y85" s="2">
        <f>IFERROR(IF(W85="","",100*(W85-MIN($W$2:$W$127))/(MAX($W$2:$W$127)-MIN($W$2:$W$127))),"")</f>
        <v/>
      </c>
      <c r="Z85" s="2">
        <f>IF(Y85="","",ROUND(Y85*X85,1))</f>
        <v/>
      </c>
      <c r="AA85" t="inlineStr">
        <is>
          <t>missing_crew_count, missing_price_per_day</t>
        </is>
      </c>
    </row>
    <row r="86">
      <c r="A86" s="2">
        <f>IF(Z86="","",RANK(Z86,$Z$2:$Z$127))</f>
        <v/>
      </c>
      <c r="B86" t="inlineStr">
        <is>
          <t>Köln</t>
        </is>
      </c>
      <c r="C86" t="inlineStr">
        <is>
          <t>Premium</t>
        </is>
      </c>
      <c r="D86" s="3" t="n">
        <v>16</v>
      </c>
      <c r="E86" s="3" t="n"/>
      <c r="F86" s="3" t="n">
        <v>31.7</v>
      </c>
      <c r="G86" s="3" t="n"/>
      <c r="H86" s="3" t="n"/>
      <c r="I86" s="3" t="n"/>
      <c r="J86" s="3" t="n"/>
      <c r="K86" s="3" t="n"/>
      <c r="M86" s="2">
        <f>IF(OR(F86="",G86="",D86=""),"",ROUND(F86*G86/D86,1))</f>
        <v/>
      </c>
      <c r="N86" s="2">
        <f>IF(OR(H86="",D86=""),"",ROUND(H86/D86,1))</f>
        <v/>
      </c>
      <c r="O86" s="2">
        <f>IFERROR(IF(M86="","",(M86-MIN($M$2:$M$127))/(MAX($M$2:$M$127)-MIN($M$2:$M$127))),"")</f>
        <v/>
      </c>
      <c r="P86" s="2">
        <f>IFERROR(IF(N86="","",(N86-MIN($N$2:$N$127))/(MAX($N$2:$N$127)-MIN($N$2:$N$127))),"")</f>
        <v/>
      </c>
      <c r="Q86" s="2">
        <f>IF(O86="","",IF(P86="",O86,(O86+P86)/2))</f>
        <v/>
      </c>
      <c r="R86" s="2">
        <f>IF(OR(I86="",D86=""),"",I86/D86)</f>
        <v/>
      </c>
      <c r="S86" s="2">
        <f>IFERROR(IF(R86="","",(R86-MIN($R$2:$R$127))/(MAX($R$2:$R$127)-MIN($R$2:$R$127))),"")</f>
        <v/>
      </c>
      <c r="T86" s="2">
        <f>IFERROR(IF(K86="","",(K86-MIN($K$2:$K$127))/(MAX($K$2:$K$127)-MIN($K$2:$K$127))),"")</f>
        <v/>
      </c>
      <c r="U86" s="2">
        <f>IFERROR(IF(L86="","",(L86-MIN($L$2:$L$127))/(MAX($L$2:$L$127)-MIN($L$2:$L$127))),"")</f>
        <v/>
      </c>
      <c r="V86" s="2">
        <f>IF(Q86="","",W_space*Q86+W_service*IF(S86="",0,S86)+W_cat*IF(T86="",0,T86)+W_itin*IF(U86="",0,U86))</f>
        <v/>
      </c>
      <c r="W86" s="2">
        <f>IF(OR(V86="",J86=""),"",V86/(J86/1000))</f>
        <v/>
      </c>
      <c r="X86" s="2">
        <f>IF(F86="",PenMissing,1)*IF(G86="",PenMissing,1)*IF(I86="",PenMissing,1)*IF(J86="",PenMissing,1)</f>
        <v/>
      </c>
      <c r="Y86" s="2">
        <f>IFERROR(IF(W86="","",100*(W86-MIN($W$2:$W$127))/(MAX($W$2:$W$127)-MIN($W$2:$W$127))),"")</f>
        <v/>
      </c>
      <c r="Z86" s="2">
        <f>IF(Y86="","",ROUND(Y86*X86,1))</f>
        <v/>
      </c>
      <c r="AA86" t="inlineStr">
        <is>
          <t>no_engine_data, missing_beam_m, missing_crew_count, missing_price_per_day</t>
        </is>
      </c>
    </row>
    <row r="87">
      <c r="A87" s="2">
        <f>IF(Z87="","",RANK(Z87,$Z$2:$Z$127))</f>
        <v/>
      </c>
      <c r="B87" t="inlineStr">
        <is>
          <t>King of the Sea</t>
        </is>
      </c>
      <c r="C87" t="inlineStr">
        <is>
          <t>Tourist</t>
        </is>
      </c>
      <c r="D87" s="3" t="n">
        <v>12</v>
      </c>
      <c r="E87" s="3" t="n">
        <v>6</v>
      </c>
      <c r="F87" s="3" t="n"/>
      <c r="G87" s="3" t="n"/>
      <c r="H87" s="3" t="n"/>
      <c r="I87" s="3" t="n"/>
      <c r="J87" s="3" t="n"/>
      <c r="K87" s="3" t="n"/>
      <c r="L87" t="n">
        <v>59.3</v>
      </c>
      <c r="M87" s="2">
        <f>IF(OR(F87="",G87="",D87=""),"",ROUND(F87*G87/D87,1))</f>
        <v/>
      </c>
      <c r="N87" s="2">
        <f>IF(OR(H87="",D87=""),"",ROUND(H87/D87,1))</f>
        <v/>
      </c>
      <c r="O87" s="2">
        <f>IFERROR(IF(M87="","",(M87-MIN($M$2:$M$127))/(MAX($M$2:$M$127)-MIN($M$2:$M$127))),"")</f>
        <v/>
      </c>
      <c r="P87" s="2">
        <f>IFERROR(IF(N87="","",(N87-MIN($N$2:$N$127))/(MAX($N$2:$N$127)-MIN($N$2:$N$127))),"")</f>
        <v/>
      </c>
      <c r="Q87" s="2">
        <f>IF(O87="","",IF(P87="",O87,(O87+P87)/2))</f>
        <v/>
      </c>
      <c r="R87" s="2">
        <f>IF(OR(I87="",D87=""),"",I87/D87)</f>
        <v/>
      </c>
      <c r="S87" s="2">
        <f>IFERROR(IF(R87="","",(R87-MIN($R$2:$R$127))/(MAX($R$2:$R$127)-MIN($R$2:$R$127))),"")</f>
        <v/>
      </c>
      <c r="T87" s="2">
        <f>IFERROR(IF(K87="","",(K87-MIN($K$2:$K$127))/(MAX($K$2:$K$127)-MIN($K$2:$K$127))),"")</f>
        <v/>
      </c>
      <c r="U87" s="2">
        <f>IFERROR(IF(L87="","",(L87-MIN($L$2:$L$127))/(MAX($L$2:$L$127)-MIN($L$2:$L$127))),"")</f>
        <v/>
      </c>
      <c r="V87" s="2">
        <f>IF(Q87="","",W_space*Q87+W_service*IF(S87="",0,S87)+W_cat*IF(T87="",0,T87)+W_itin*IF(U87="",0,U87))</f>
        <v/>
      </c>
      <c r="W87" s="2">
        <f>IF(OR(V87="",J87=""),"",V87/(J87/1000))</f>
        <v/>
      </c>
      <c r="X87" s="2">
        <f>IF(F87="",PenMissing,1)*IF(G87="",PenMissing,1)*IF(I87="",PenMissing,1)*IF(J87="",PenMissing,1)</f>
        <v/>
      </c>
      <c r="Y87" s="2">
        <f>IFERROR(IF(W87="","",100*(W87-MIN($W$2:$W$127))/(MAX($W$2:$W$127)-MIN($W$2:$W$127))),"")</f>
        <v/>
      </c>
      <c r="Z87" s="2">
        <f>IF(Y87="","",ROUND(Y87*X87,1))</f>
        <v/>
      </c>
      <c r="AA87" t="inlineStr">
        <is>
          <t>no_engine_data, missing_length_m, missing_beam_m, missing_speed_kn, missing_crew_count, missing_price_per_day</t>
        </is>
      </c>
    </row>
    <row r="88">
      <c r="A88" s="2">
        <f>IF(Z88="","",RANK(Z88,$Z$2:$Z$127))</f>
        <v/>
      </c>
      <c r="B88" t="inlineStr">
        <is>
          <t>Lonesome George</t>
        </is>
      </c>
      <c r="C88" t="inlineStr">
        <is>
          <t>Budget</t>
        </is>
      </c>
      <c r="D88" s="3" t="n">
        <v>16</v>
      </c>
      <c r="E88" s="3" t="n">
        <v>8</v>
      </c>
      <c r="F88" s="3" t="n">
        <v>17</v>
      </c>
      <c r="G88" s="3" t="n">
        <v>5</v>
      </c>
      <c r="H88" s="3" t="n"/>
      <c r="I88" s="3" t="n"/>
      <c r="J88" s="3" t="n"/>
      <c r="K88" s="3" t="n"/>
      <c r="L88" t="n">
        <v>59.9</v>
      </c>
      <c r="M88" s="2">
        <f>IF(OR(F88="",G88="",D88=""),"",ROUND(F88*G88/D88,1))</f>
        <v/>
      </c>
      <c r="N88" s="2">
        <f>IF(OR(H88="",D88=""),"",ROUND(H88/D88,1))</f>
        <v/>
      </c>
      <c r="O88" s="2">
        <f>IFERROR(IF(M88="","",(M88-MIN($M$2:$M$127))/(MAX($M$2:$M$127)-MIN($M$2:$M$127))),"")</f>
        <v/>
      </c>
      <c r="P88" s="2">
        <f>IFERROR(IF(N88="","",(N88-MIN($N$2:$N$127))/(MAX($N$2:$N$127)-MIN($N$2:$N$127))),"")</f>
        <v/>
      </c>
      <c r="Q88" s="2">
        <f>IF(O88="","",IF(P88="",O88,(O88+P88)/2))</f>
        <v/>
      </c>
      <c r="R88" s="2">
        <f>IF(OR(I88="",D88=""),"",I88/D88)</f>
        <v/>
      </c>
      <c r="S88" s="2">
        <f>IFERROR(IF(R88="","",(R88-MIN($R$2:$R$127))/(MAX($R$2:$R$127)-MIN($R$2:$R$127))),"")</f>
        <v/>
      </c>
      <c r="T88" s="2">
        <f>IFERROR(IF(K88="","",(K88-MIN($K$2:$K$127))/(MAX($K$2:$K$127)-MIN($K$2:$K$127))),"")</f>
        <v/>
      </c>
      <c r="U88" s="2">
        <f>IFERROR(IF(L88="","",(L88-MIN($L$2:$L$127))/(MAX($L$2:$L$127)-MIN($L$2:$L$127))),"")</f>
        <v/>
      </c>
      <c r="V88" s="2">
        <f>IF(Q88="","",W_space*Q88+W_service*IF(S88="",0,S88)+W_cat*IF(T88="",0,T88)+W_itin*IF(U88="",0,U88))</f>
        <v/>
      </c>
      <c r="W88" s="2">
        <f>IF(OR(V88="",J88=""),"",V88/(J88/1000))</f>
        <v/>
      </c>
      <c r="X88" s="2">
        <f>IF(F88="",PenMissing,1)*IF(G88="",PenMissing,1)*IF(I88="",PenMissing,1)*IF(J88="",PenMissing,1)</f>
        <v/>
      </c>
      <c r="Y88" s="2">
        <f>IFERROR(IF(W88="","",100*(W88-MIN($W$2:$W$127))/(MAX($W$2:$W$127)-MIN($W$2:$W$127))),"")</f>
        <v/>
      </c>
      <c r="Z88" s="2">
        <f>IF(Y88="","",ROUND(Y88*X88,1))</f>
        <v/>
      </c>
      <c r="AA88" t="inlineStr">
        <is>
          <t>no_engine_data, missing_crew_count, missing_price_per_day</t>
        </is>
      </c>
    </row>
    <row r="89">
      <c r="A89" s="2">
        <f>IF(Z89="","",RANK(Z89,$Z$2:$Z$127))</f>
        <v/>
      </c>
      <c r="B89" t="inlineStr">
        <is>
          <t>Majestic Galápagos Diving Cruise</t>
        </is>
      </c>
      <c r="C89" t="inlineStr">
        <is>
          <t>Premium</t>
        </is>
      </c>
      <c r="D89" s="3" t="n">
        <v>16</v>
      </c>
      <c r="E89" s="3" t="n"/>
      <c r="F89" s="3" t="n">
        <v>36</v>
      </c>
      <c r="G89" s="3" t="n">
        <v>7</v>
      </c>
      <c r="H89" s="3" t="n"/>
      <c r="I89" s="3" t="n"/>
      <c r="J89" s="3" t="n"/>
      <c r="K89" s="3" t="n"/>
      <c r="M89" s="2">
        <f>IF(OR(F89="",G89="",D89=""),"",ROUND(F89*G89/D89,1))</f>
        <v/>
      </c>
      <c r="N89" s="2">
        <f>IF(OR(H89="",D89=""),"",ROUND(H89/D89,1))</f>
        <v/>
      </c>
      <c r="O89" s="2">
        <f>IFERROR(IF(M89="","",(M89-MIN($M$2:$M$127))/(MAX($M$2:$M$127)-MIN($M$2:$M$127))),"")</f>
        <v/>
      </c>
      <c r="P89" s="2">
        <f>IFERROR(IF(N89="","",(N89-MIN($N$2:$N$127))/(MAX($N$2:$N$127)-MIN($N$2:$N$127))),"")</f>
        <v/>
      </c>
      <c r="Q89" s="2">
        <f>IF(O89="","",IF(P89="",O89,(O89+P89)/2))</f>
        <v/>
      </c>
      <c r="R89" s="2">
        <f>IF(OR(I89="",D89=""),"",I89/D89)</f>
        <v/>
      </c>
      <c r="S89" s="2">
        <f>IFERROR(IF(R89="","",(R89-MIN($R$2:$R$127))/(MAX($R$2:$R$127)-MIN($R$2:$R$127))),"")</f>
        <v/>
      </c>
      <c r="T89" s="2">
        <f>IFERROR(IF(K89="","",(K89-MIN($K$2:$K$127))/(MAX($K$2:$K$127)-MIN($K$2:$K$127))),"")</f>
        <v/>
      </c>
      <c r="U89" s="2">
        <f>IFERROR(IF(L89="","",(L89-MIN($L$2:$L$127))/(MAX($L$2:$L$127)-MIN($L$2:$L$127))),"")</f>
        <v/>
      </c>
      <c r="V89" s="2">
        <f>IF(Q89="","",W_space*Q89+W_service*IF(S89="",0,S89)+W_cat*IF(T89="",0,T89)+W_itin*IF(U89="",0,U89))</f>
        <v/>
      </c>
      <c r="W89" s="2">
        <f>IF(OR(V89="",J89=""),"",V89/(J89/1000))</f>
        <v/>
      </c>
      <c r="X89" s="2">
        <f>IF(F89="",PenMissing,1)*IF(G89="",PenMissing,1)*IF(I89="",PenMissing,1)*IF(J89="",PenMissing,1)</f>
        <v/>
      </c>
      <c r="Y89" s="2">
        <f>IFERROR(IF(W89="","",100*(W89-MIN($W$2:$W$127))/(MAX($W$2:$W$127)-MIN($W$2:$W$127))),"")</f>
        <v/>
      </c>
      <c r="Z89" s="2">
        <f>IF(Y89="","",ROUND(Y89*X89,1))</f>
        <v/>
      </c>
      <c r="AA89" t="inlineStr">
        <is>
          <t>no_engine_data, missing_crew_count, missing_price_per_day</t>
        </is>
      </c>
    </row>
    <row r="90">
      <c r="A90" s="2">
        <f>IF(Z90="","",RANK(Z90,$Z$2:$Z$127))</f>
        <v/>
      </c>
      <c r="B90" t="inlineStr">
        <is>
          <t>Mary Anne</t>
        </is>
      </c>
      <c r="C90" t="inlineStr">
        <is>
          <t>Premium</t>
        </is>
      </c>
      <c r="D90" s="3" t="n">
        <v>16</v>
      </c>
      <c r="E90" s="3" t="n">
        <v>12</v>
      </c>
      <c r="F90" s="3" t="n">
        <v>52.4</v>
      </c>
      <c r="G90" s="3" t="n"/>
      <c r="H90" s="3" t="n"/>
      <c r="I90" s="3" t="n"/>
      <c r="J90" s="3" t="n"/>
      <c r="K90" s="3" t="n"/>
      <c r="L90" t="n">
        <v>62.4</v>
      </c>
      <c r="M90" s="2">
        <f>IF(OR(F90="",G90="",D90=""),"",ROUND(F90*G90/D90,1))</f>
        <v/>
      </c>
      <c r="N90" s="2">
        <f>IF(OR(H90="",D90=""),"",ROUND(H90/D90,1))</f>
        <v/>
      </c>
      <c r="O90" s="2">
        <f>IFERROR(IF(M90="","",(M90-MIN($M$2:$M$127))/(MAX($M$2:$M$127)-MIN($M$2:$M$127))),"")</f>
        <v/>
      </c>
      <c r="P90" s="2">
        <f>IFERROR(IF(N90="","",(N90-MIN($N$2:$N$127))/(MAX($N$2:$N$127)-MIN($N$2:$N$127))),"")</f>
        <v/>
      </c>
      <c r="Q90" s="2">
        <f>IF(O90="","",IF(P90="",O90,(O90+P90)/2))</f>
        <v/>
      </c>
      <c r="R90" s="2">
        <f>IF(OR(I90="",D90=""),"",I90/D90)</f>
        <v/>
      </c>
      <c r="S90" s="2">
        <f>IFERROR(IF(R90="","",(R90-MIN($R$2:$R$127))/(MAX($R$2:$R$127)-MIN($R$2:$R$127))),"")</f>
        <v/>
      </c>
      <c r="T90" s="2">
        <f>IFERROR(IF(K90="","",(K90-MIN($K$2:$K$127))/(MAX($K$2:$K$127)-MIN($K$2:$K$127))),"")</f>
        <v/>
      </c>
      <c r="U90" s="2">
        <f>IFERROR(IF(L90="","",(L90-MIN($L$2:$L$127))/(MAX($L$2:$L$127)-MIN($L$2:$L$127))),"")</f>
        <v/>
      </c>
      <c r="V90" s="2">
        <f>IF(Q90="","",W_space*Q90+W_service*IF(S90="",0,S90)+W_cat*IF(T90="",0,T90)+W_itin*IF(U90="",0,U90))</f>
        <v/>
      </c>
      <c r="W90" s="2">
        <f>IF(OR(V90="",J90=""),"",V90/(J90/1000))</f>
        <v/>
      </c>
      <c r="X90" s="2">
        <f>IF(F90="",PenMissing,1)*IF(G90="",PenMissing,1)*IF(I90="",PenMissing,1)*IF(J90="",PenMissing,1)</f>
        <v/>
      </c>
      <c r="Y90" s="2">
        <f>IFERROR(IF(W90="","",100*(W90-MIN($W$2:$W$127))/(MAX($W$2:$W$127)-MIN($W$2:$W$127))),"")</f>
        <v/>
      </c>
      <c r="Z90" s="2">
        <f>IF(Y90="","",ROUND(Y90*X90,1))</f>
        <v/>
      </c>
      <c r="AA90" t="inlineStr">
        <is>
          <t>no_engine_data, missing_beam_m, missing_crew_count, missing_price_per_day</t>
        </is>
      </c>
    </row>
    <row r="91">
      <c r="A91" s="2">
        <f>IF(Z91="","",RANK(Z91,$Z$2:$Z$127))</f>
        <v/>
      </c>
      <c r="B91" t="inlineStr">
        <is>
          <t>Galapagos Master</t>
        </is>
      </c>
      <c r="C91" t="inlineStr">
        <is>
          <t>Premium</t>
        </is>
      </c>
      <c r="D91" s="3" t="n">
        <v>16</v>
      </c>
      <c r="E91" s="3" t="n">
        <v>9</v>
      </c>
      <c r="F91" s="3" t="n">
        <v>32</v>
      </c>
      <c r="G91" s="3" t="n">
        <v>8</v>
      </c>
      <c r="H91" s="3" t="n"/>
      <c r="I91" s="3" t="n">
        <v>11</v>
      </c>
      <c r="J91" s="3" t="n"/>
      <c r="K91" s="3" t="n">
        <v>4</v>
      </c>
      <c r="M91" s="2">
        <f>IF(OR(F91="",G91="",D91=""),"",ROUND(F91*G91/D91,1))</f>
        <v/>
      </c>
      <c r="N91" s="2">
        <f>IF(OR(H91="",D91=""),"",ROUND(H91/D91,1))</f>
        <v/>
      </c>
      <c r="O91" s="2">
        <f>IFERROR(IF(M91="","",(M91-MIN($M$2:$M$127))/(MAX($M$2:$M$127)-MIN($M$2:$M$127))),"")</f>
        <v/>
      </c>
      <c r="P91" s="2">
        <f>IFERROR(IF(N91="","",(N91-MIN($N$2:$N$127))/(MAX($N$2:$N$127)-MIN($N$2:$N$127))),"")</f>
        <v/>
      </c>
      <c r="Q91" s="2">
        <f>IF(O91="","",IF(P91="",O91,(O91+P91)/2))</f>
        <v/>
      </c>
      <c r="R91" s="2">
        <f>IF(OR(I91="",D91=""),"",I91/D91)</f>
        <v/>
      </c>
      <c r="S91" s="2">
        <f>IFERROR(IF(R91="","",(R91-MIN($R$2:$R$127))/(MAX($R$2:$R$127)-MIN($R$2:$R$127))),"")</f>
        <v/>
      </c>
      <c r="T91" s="2">
        <f>IFERROR(IF(K91="","",(K91-MIN($K$2:$K$127))/(MAX($K$2:$K$127)-MIN($K$2:$K$127))),"")</f>
        <v/>
      </c>
      <c r="U91" s="2">
        <f>IFERROR(IF(L91="","",(L91-MIN($L$2:$L$127))/(MAX($L$2:$L$127)-MIN($L$2:$L$127))),"")</f>
        <v/>
      </c>
      <c r="V91" s="2">
        <f>IF(Q91="","",W_space*Q91+W_service*IF(S91="",0,S91)+W_cat*IF(T91="",0,T91)+W_itin*IF(U91="",0,U91))</f>
        <v/>
      </c>
      <c r="W91" s="2">
        <f>IF(OR(V91="",J91=""),"",V91/(J91/1000))</f>
        <v/>
      </c>
      <c r="X91" s="2">
        <f>IF(F91="",PenMissing,1)*IF(G91="",PenMissing,1)*IF(I91="",PenMissing,1)*IF(J91="",PenMissing,1)</f>
        <v/>
      </c>
      <c r="Y91" s="2">
        <f>IFERROR(IF(W91="","",100*(W91-MIN($W$2:$W$127))/(MAX($W$2:$W$127)-MIN($W$2:$W$127))),"")</f>
        <v/>
      </c>
      <c r="Z91" s="2">
        <f>IF(Y91="","",ROUND(Y91*X91,1))</f>
        <v/>
      </c>
      <c r="AA91" t="inlineStr">
        <is>
          <t>missing_price_per_day</t>
        </is>
      </c>
    </row>
    <row r="92">
      <c r="A92" s="2">
        <f>IF(Z92="","",RANK(Z92,$Z$2:$Z$127))</f>
        <v/>
      </c>
      <c r="B92" t="inlineStr">
        <is>
          <t>Merak</t>
        </is>
      </c>
      <c r="C92" t="inlineStr">
        <is>
          <t>Budget</t>
        </is>
      </c>
      <c r="D92" s="3" t="n">
        <v>8</v>
      </c>
      <c r="E92" s="3" t="n">
        <v>4</v>
      </c>
      <c r="F92" s="3" t="n"/>
      <c r="G92" s="3" t="n"/>
      <c r="H92" s="3" t="n"/>
      <c r="I92" s="3" t="n"/>
      <c r="J92" s="3" t="n"/>
      <c r="K92" s="3" t="n"/>
      <c r="L92" t="n">
        <v>62.9</v>
      </c>
      <c r="M92" s="2">
        <f>IF(OR(F92="",G92="",D92=""),"",ROUND(F92*G92/D92,1))</f>
        <v/>
      </c>
      <c r="N92" s="2">
        <f>IF(OR(H92="",D92=""),"",ROUND(H92/D92,1))</f>
        <v/>
      </c>
      <c r="O92" s="2">
        <f>IFERROR(IF(M92="","",(M92-MIN($M$2:$M$127))/(MAX($M$2:$M$127)-MIN($M$2:$M$127))),"")</f>
        <v/>
      </c>
      <c r="P92" s="2">
        <f>IFERROR(IF(N92="","",(N92-MIN($N$2:$N$127))/(MAX($N$2:$N$127)-MIN($N$2:$N$127))),"")</f>
        <v/>
      </c>
      <c r="Q92" s="2">
        <f>IF(O92="","",IF(P92="",O92,(O92+P92)/2))</f>
        <v/>
      </c>
      <c r="R92" s="2">
        <f>IF(OR(I92="",D92=""),"",I92/D92)</f>
        <v/>
      </c>
      <c r="S92" s="2">
        <f>IFERROR(IF(R92="","",(R92-MIN($R$2:$R$127))/(MAX($R$2:$R$127)-MIN($R$2:$R$127))),"")</f>
        <v/>
      </c>
      <c r="T92" s="2">
        <f>IFERROR(IF(K92="","",(K92-MIN($K$2:$K$127))/(MAX($K$2:$K$127)-MIN($K$2:$K$127))),"")</f>
        <v/>
      </c>
      <c r="U92" s="2">
        <f>IFERROR(IF(L92="","",(L92-MIN($L$2:$L$127))/(MAX($L$2:$L$127)-MIN($L$2:$L$127))),"")</f>
        <v/>
      </c>
      <c r="V92" s="2">
        <f>IF(Q92="","",W_space*Q92+W_service*IF(S92="",0,S92)+W_cat*IF(T92="",0,T92)+W_itin*IF(U92="",0,U92))</f>
        <v/>
      </c>
      <c r="W92" s="2">
        <f>IF(OR(V92="",J92=""),"",V92/(J92/1000))</f>
        <v/>
      </c>
      <c r="X92" s="2">
        <f>IF(F92="",PenMissing,1)*IF(G92="",PenMissing,1)*IF(I92="",PenMissing,1)*IF(J92="",PenMissing,1)</f>
        <v/>
      </c>
      <c r="Y92" s="2">
        <f>IFERROR(IF(W92="","",100*(W92-MIN($W$2:$W$127))/(MAX($W$2:$W$127)-MIN($W$2:$W$127))),"")</f>
        <v/>
      </c>
      <c r="Z92" s="2">
        <f>IF(Y92="","",ROUND(Y92*X92,1))</f>
        <v/>
      </c>
      <c r="AA92" t="inlineStr">
        <is>
          <t>length_ft_m_mismatch, no_engine_data, missing_length_m, missing_beam_m, missing_crew_count, missing_price_per_day</t>
        </is>
      </c>
    </row>
    <row r="93">
      <c r="A93" s="2">
        <f>IF(Z93="","",RANK(Z93,$Z$2:$Z$127))</f>
        <v/>
      </c>
      <c r="B93" t="inlineStr">
        <is>
          <t>Millennium</t>
        </is>
      </c>
      <c r="C93" t="inlineStr">
        <is>
          <t>Classic</t>
        </is>
      </c>
      <c r="D93" s="3" t="n">
        <v>16</v>
      </c>
      <c r="E93" s="3" t="n"/>
      <c r="F93" s="3" t="n">
        <v>25</v>
      </c>
      <c r="G93" s="3" t="n"/>
      <c r="H93" s="3" t="n"/>
      <c r="I93" s="3" t="n"/>
      <c r="J93" s="3" t="n"/>
      <c r="K93" s="3" t="n"/>
      <c r="M93" s="2">
        <f>IF(OR(F93="",G93="",D93=""),"",ROUND(F93*G93/D93,1))</f>
        <v/>
      </c>
      <c r="N93" s="2">
        <f>IF(OR(H93="",D93=""),"",ROUND(H93/D93,1))</f>
        <v/>
      </c>
      <c r="O93" s="2">
        <f>IFERROR(IF(M93="","",(M93-MIN($M$2:$M$127))/(MAX($M$2:$M$127)-MIN($M$2:$M$127))),"")</f>
        <v/>
      </c>
      <c r="P93" s="2">
        <f>IFERROR(IF(N93="","",(N93-MIN($N$2:$N$127))/(MAX($N$2:$N$127)-MIN($N$2:$N$127))),"")</f>
        <v/>
      </c>
      <c r="Q93" s="2">
        <f>IF(O93="","",IF(P93="",O93,(O93+P93)/2))</f>
        <v/>
      </c>
      <c r="R93" s="2">
        <f>IF(OR(I93="",D93=""),"",I93/D93)</f>
        <v/>
      </c>
      <c r="S93" s="2">
        <f>IFERROR(IF(R93="","",(R93-MIN($R$2:$R$127))/(MAX($R$2:$R$127)-MIN($R$2:$R$127))),"")</f>
        <v/>
      </c>
      <c r="T93" s="2">
        <f>IFERROR(IF(K93="","",(K93-MIN($K$2:$K$127))/(MAX($K$2:$K$127)-MIN($K$2:$K$127))),"")</f>
        <v/>
      </c>
      <c r="U93" s="2">
        <f>IFERROR(IF(L93="","",(L93-MIN($L$2:$L$127))/(MAX($L$2:$L$127)-MIN($L$2:$L$127))),"")</f>
        <v/>
      </c>
      <c r="V93" s="2">
        <f>IF(Q93="","",W_space*Q93+W_service*IF(S93="",0,S93)+W_cat*IF(T93="",0,T93)+W_itin*IF(U93="",0,U93))</f>
        <v/>
      </c>
      <c r="W93" s="2">
        <f>IF(OR(V93="",J93=""),"",V93/(J93/1000))</f>
        <v/>
      </c>
      <c r="X93" s="2">
        <f>IF(F93="",PenMissing,1)*IF(G93="",PenMissing,1)*IF(I93="",PenMissing,1)*IF(J93="",PenMissing,1)</f>
        <v/>
      </c>
      <c r="Y93" s="2">
        <f>IFERROR(IF(W93="","",100*(W93-MIN($W$2:$W$127))/(MAX($W$2:$W$127)-MIN($W$2:$W$127))),"")</f>
        <v/>
      </c>
      <c r="Z93" s="2">
        <f>IF(Y93="","",ROUND(Y93*X93,1))</f>
        <v/>
      </c>
      <c r="AA93" t="inlineStr">
        <is>
          <t>no_engine_data, missing_beam_m, missing_crew_count, missing_price_per_day</t>
        </is>
      </c>
    </row>
    <row r="94">
      <c r="A94" s="2">
        <f>IF(Z94="","",RANK(Z94,$Z$2:$Z$127))</f>
        <v/>
      </c>
      <c r="B94" t="inlineStr">
        <is>
          <t>National Geographic Delfina</t>
        </is>
      </c>
      <c r="D94" s="3" t="n">
        <v>16</v>
      </c>
      <c r="E94" s="3" t="n">
        <v>17</v>
      </c>
      <c r="F94" s="3" t="n">
        <v>29.9</v>
      </c>
      <c r="G94" s="3" t="n"/>
      <c r="H94" s="3" t="n"/>
      <c r="I94" s="3" t="n"/>
      <c r="J94" s="3" t="n"/>
      <c r="K94" s="3" t="n">
        <v>5</v>
      </c>
      <c r="M94" s="2">
        <f>IF(OR(F94="",G94="",D94=""),"",ROUND(F94*G94/D94,1))</f>
        <v/>
      </c>
      <c r="N94" s="2">
        <f>IF(OR(H94="",D94=""),"",ROUND(H94/D94,1))</f>
        <v/>
      </c>
      <c r="O94" s="2">
        <f>IFERROR(IF(M94="","",(M94-MIN($M$2:$M$127))/(MAX($M$2:$M$127)-MIN($M$2:$M$127))),"")</f>
        <v/>
      </c>
      <c r="P94" s="2">
        <f>IFERROR(IF(N94="","",(N94-MIN($N$2:$N$127))/(MAX($N$2:$N$127)-MIN($N$2:$N$127))),"")</f>
        <v/>
      </c>
      <c r="Q94" s="2">
        <f>IF(O94="","",IF(P94="",O94,(O94+P94)/2))</f>
        <v/>
      </c>
      <c r="R94" s="2">
        <f>IF(OR(I94="",D94=""),"",I94/D94)</f>
        <v/>
      </c>
      <c r="S94" s="2">
        <f>IFERROR(IF(R94="","",(R94-MIN($R$2:$R$127))/(MAX($R$2:$R$127)-MIN($R$2:$R$127))),"")</f>
        <v/>
      </c>
      <c r="T94" s="2">
        <f>IFERROR(IF(K94="","",(K94-MIN($K$2:$K$127))/(MAX($K$2:$K$127)-MIN($K$2:$K$127))),"")</f>
        <v/>
      </c>
      <c r="U94" s="2">
        <f>IFERROR(IF(L94="","",(L94-MIN($L$2:$L$127))/(MAX($L$2:$L$127)-MIN($L$2:$L$127))),"")</f>
        <v/>
      </c>
      <c r="V94" s="2">
        <f>IF(Q94="","",W_space*Q94+W_service*IF(S94="",0,S94)+W_cat*IF(T94="",0,T94)+W_itin*IF(U94="",0,U94))</f>
        <v/>
      </c>
      <c r="W94" s="2">
        <f>IF(OR(V94="",J94=""),"",V94/(J94/1000))</f>
        <v/>
      </c>
      <c r="X94" s="2">
        <f>IF(F94="",PenMissing,1)*IF(G94="",PenMissing,1)*IF(I94="",PenMissing,1)*IF(J94="",PenMissing,1)</f>
        <v/>
      </c>
      <c r="Y94" s="2">
        <f>IFERROR(IF(W94="","",100*(W94-MIN($W$2:$W$127))/(MAX($W$2:$W$127)-MIN($W$2:$W$127))),"")</f>
        <v/>
      </c>
      <c r="Z94" s="2">
        <f>IF(Y94="","",ROUND(Y94*X94,1))</f>
        <v/>
      </c>
      <c r="AA94" t="inlineStr">
        <is>
          <t>missing_beam_m, missing_crew_count, missing_price_per_day</t>
        </is>
      </c>
    </row>
    <row r="95">
      <c r="A95" s="2">
        <f>IF(Z95="","",RANK(Z95,$Z$2:$Z$127))</f>
        <v/>
      </c>
      <c r="B95" t="inlineStr">
        <is>
          <t>National Geographic Endeavour Ii</t>
        </is>
      </c>
      <c r="C95" t="inlineStr">
        <is>
          <t>Luxury</t>
        </is>
      </c>
      <c r="D95" s="3" t="n">
        <v>96</v>
      </c>
      <c r="E95" s="3" t="n">
        <v>62</v>
      </c>
      <c r="F95" s="3" t="n">
        <v>72</v>
      </c>
      <c r="G95" s="3" t="n">
        <v>13</v>
      </c>
      <c r="H95" s="3" t="n"/>
      <c r="I95" s="3" t="n">
        <v>2</v>
      </c>
      <c r="J95" s="3" t="n"/>
      <c r="K95" s="3" t="n">
        <v>5</v>
      </c>
      <c r="M95" s="2">
        <f>IF(OR(F95="",G95="",D95=""),"",ROUND(F95*G95/D95,1))</f>
        <v/>
      </c>
      <c r="N95" s="2">
        <f>IF(OR(H95="",D95=""),"",ROUND(H95/D95,1))</f>
        <v/>
      </c>
      <c r="O95" s="2">
        <f>IFERROR(IF(M95="","",(M95-MIN($M$2:$M$127))/(MAX($M$2:$M$127)-MIN($M$2:$M$127))),"")</f>
        <v/>
      </c>
      <c r="P95" s="2">
        <f>IFERROR(IF(N95="","",(N95-MIN($N$2:$N$127))/(MAX($N$2:$N$127)-MIN($N$2:$N$127))),"")</f>
        <v/>
      </c>
      <c r="Q95" s="2">
        <f>IF(O95="","",IF(P95="",O95,(O95+P95)/2))</f>
        <v/>
      </c>
      <c r="R95" s="2">
        <f>IF(OR(I95="",D95=""),"",I95/D95)</f>
        <v/>
      </c>
      <c r="S95" s="2">
        <f>IFERROR(IF(R95="","",(R95-MIN($R$2:$R$127))/(MAX($R$2:$R$127)-MIN($R$2:$R$127))),"")</f>
        <v/>
      </c>
      <c r="T95" s="2">
        <f>IFERROR(IF(K95="","",(K95-MIN($K$2:$K$127))/(MAX($K$2:$K$127)-MIN($K$2:$K$127))),"")</f>
        <v/>
      </c>
      <c r="U95" s="2">
        <f>IFERROR(IF(L95="","",(L95-MIN($L$2:$L$127))/(MAX($L$2:$L$127)-MIN($L$2:$L$127))),"")</f>
        <v/>
      </c>
      <c r="V95" s="2">
        <f>IF(Q95="","",W_space*Q95+W_service*IF(S95="",0,S95)+W_cat*IF(T95="",0,T95)+W_itin*IF(U95="",0,U95))</f>
        <v/>
      </c>
      <c r="W95" s="2">
        <f>IF(OR(V95="",J95=""),"",V95/(J95/1000))</f>
        <v/>
      </c>
      <c r="X95" s="2">
        <f>IF(F95="",PenMissing,1)*IF(G95="",PenMissing,1)*IF(I95="",PenMissing,1)*IF(J95="",PenMissing,1)</f>
        <v/>
      </c>
      <c r="Y95" s="2">
        <f>IFERROR(IF(W95="","",100*(W95-MIN($W$2:$W$127))/(MAX($W$2:$W$127)-MIN($W$2:$W$127))),"")</f>
        <v/>
      </c>
      <c r="Z95" s="2">
        <f>IF(Y95="","",ROUND(Y95*X95,1))</f>
        <v/>
      </c>
      <c r="AA95" t="inlineStr">
        <is>
          <t>no_engine_data, missing_price_per_day</t>
        </is>
      </c>
    </row>
    <row r="96">
      <c r="A96" s="2">
        <f>IF(Z96="","",RANK(Z96,$Z$2:$Z$127))</f>
        <v/>
      </c>
      <c r="B96" t="inlineStr">
        <is>
          <t>National Geographic Gemini</t>
        </is>
      </c>
      <c r="D96" s="3" t="n">
        <v>48</v>
      </c>
      <c r="E96" s="3" t="n">
        <v>57</v>
      </c>
      <c r="F96" s="3" t="n">
        <v>90.2</v>
      </c>
      <c r="G96" s="3" t="n"/>
      <c r="H96" s="3" t="n"/>
      <c r="I96" s="3" t="n"/>
      <c r="J96" s="3" t="n"/>
      <c r="K96" s="3" t="n">
        <v>5</v>
      </c>
      <c r="M96" s="2">
        <f>IF(OR(F96="",G96="",D96=""),"",ROUND(F96*G96/D96,1))</f>
        <v/>
      </c>
      <c r="N96" s="2">
        <f>IF(OR(H96="",D96=""),"",ROUND(H96/D96,1))</f>
        <v/>
      </c>
      <c r="O96" s="2">
        <f>IFERROR(IF(M96="","",(M96-MIN($M$2:$M$127))/(MAX($M$2:$M$127)-MIN($M$2:$M$127))),"")</f>
        <v/>
      </c>
      <c r="P96" s="2">
        <f>IFERROR(IF(N96="","",(N96-MIN($N$2:$N$127))/(MAX($N$2:$N$127)-MIN($N$2:$N$127))),"")</f>
        <v/>
      </c>
      <c r="Q96" s="2">
        <f>IF(O96="","",IF(P96="",O96,(O96+P96)/2))</f>
        <v/>
      </c>
      <c r="R96" s="2">
        <f>IF(OR(I96="",D96=""),"",I96/D96)</f>
        <v/>
      </c>
      <c r="S96" s="2">
        <f>IFERROR(IF(R96="","",(R96-MIN($R$2:$R$127))/(MAX($R$2:$R$127)-MIN($R$2:$R$127))),"")</f>
        <v/>
      </c>
      <c r="T96" s="2">
        <f>IFERROR(IF(K96="","",(K96-MIN($K$2:$K$127))/(MAX($K$2:$K$127)-MIN($K$2:$K$127))),"")</f>
        <v/>
      </c>
      <c r="U96" s="2">
        <f>IFERROR(IF(L96="","",(L96-MIN($L$2:$L$127))/(MAX($L$2:$L$127)-MIN($L$2:$L$127))),"")</f>
        <v/>
      </c>
      <c r="V96" s="2">
        <f>IF(Q96="","",W_space*Q96+W_service*IF(S96="",0,S96)+W_cat*IF(T96="",0,T96)+W_itin*IF(U96="",0,U96))</f>
        <v/>
      </c>
      <c r="W96" s="2">
        <f>IF(OR(V96="",J96=""),"",V96/(J96/1000))</f>
        <v/>
      </c>
      <c r="X96" s="2">
        <f>IF(F96="",PenMissing,1)*IF(G96="",PenMissing,1)*IF(I96="",PenMissing,1)*IF(J96="",PenMissing,1)</f>
        <v/>
      </c>
      <c r="Y96" s="2">
        <f>IFERROR(IF(W96="","",100*(W96-MIN($W$2:$W$127))/(MAX($W$2:$W$127)-MIN($W$2:$W$127))),"")</f>
        <v/>
      </c>
      <c r="Z96" s="2">
        <f>IF(Y96="","",ROUND(Y96*X96,1))</f>
        <v/>
      </c>
      <c r="AA96" t="inlineStr">
        <is>
          <t>missing_beam_m, missing_crew_count, missing_price_per_day</t>
        </is>
      </c>
    </row>
    <row r="97">
      <c r="A97" s="2">
        <f>IF(Z97="","",RANK(Z97,$Z$2:$Z$127))</f>
        <v/>
      </c>
      <c r="B97" t="inlineStr">
        <is>
          <t>National Geographic Islander</t>
        </is>
      </c>
      <c r="C97" t="inlineStr">
        <is>
          <t>Premium</t>
        </is>
      </c>
      <c r="D97" s="3" t="n">
        <v>48</v>
      </c>
      <c r="E97" s="3" t="n"/>
      <c r="F97" s="3" t="n">
        <v>50</v>
      </c>
      <c r="G97" s="3" t="n"/>
      <c r="H97" s="3" t="n"/>
      <c r="I97" s="3" t="n"/>
      <c r="J97" s="3" t="n"/>
      <c r="K97" s="3" t="n"/>
      <c r="M97" s="2">
        <f>IF(OR(F97="",G97="",D97=""),"",ROUND(F97*G97/D97,1))</f>
        <v/>
      </c>
      <c r="N97" s="2">
        <f>IF(OR(H97="",D97=""),"",ROUND(H97/D97,1))</f>
        <v/>
      </c>
      <c r="O97" s="2">
        <f>IFERROR(IF(M97="","",(M97-MIN($M$2:$M$127))/(MAX($M$2:$M$127)-MIN($M$2:$M$127))),"")</f>
        <v/>
      </c>
      <c r="P97" s="2">
        <f>IFERROR(IF(N97="","",(N97-MIN($N$2:$N$127))/(MAX($N$2:$N$127)-MIN($N$2:$N$127))),"")</f>
        <v/>
      </c>
      <c r="Q97" s="2">
        <f>IF(O97="","",IF(P97="",O97,(O97+P97)/2))</f>
        <v/>
      </c>
      <c r="R97" s="2">
        <f>IF(OR(I97="",D97=""),"",I97/D97)</f>
        <v/>
      </c>
      <c r="S97" s="2">
        <f>IFERROR(IF(R97="","",(R97-MIN($R$2:$R$127))/(MAX($R$2:$R$127)-MIN($R$2:$R$127))),"")</f>
        <v/>
      </c>
      <c r="T97" s="2">
        <f>IFERROR(IF(K97="","",(K97-MIN($K$2:$K$127))/(MAX($K$2:$K$127)-MIN($K$2:$K$127))),"")</f>
        <v/>
      </c>
      <c r="U97" s="2">
        <f>IFERROR(IF(L97="","",(L97-MIN($L$2:$L$127))/(MAX($L$2:$L$127)-MIN($L$2:$L$127))),"")</f>
        <v/>
      </c>
      <c r="V97" s="2">
        <f>IF(Q97="","",W_space*Q97+W_service*IF(S97="",0,S97)+W_cat*IF(T97="",0,T97)+W_itin*IF(U97="",0,U97))</f>
        <v/>
      </c>
      <c r="W97" s="2">
        <f>IF(OR(V97="",J97=""),"",V97/(J97/1000))</f>
        <v/>
      </c>
      <c r="X97" s="2">
        <f>IF(F97="",PenMissing,1)*IF(G97="",PenMissing,1)*IF(I97="",PenMissing,1)*IF(J97="",PenMissing,1)</f>
        <v/>
      </c>
      <c r="Y97" s="2">
        <f>IFERROR(IF(W97="","",100*(W97-MIN($W$2:$W$127))/(MAX($W$2:$W$127)-MIN($W$2:$W$127))),"")</f>
        <v/>
      </c>
      <c r="Z97" s="2">
        <f>IF(Y97="","",ROUND(Y97*X97,1))</f>
        <v/>
      </c>
      <c r="AA97" t="inlineStr">
        <is>
          <t>no_engine_data, missing_beam_m, missing_speed_kn, missing_crew_count, missing_price_per_day</t>
        </is>
      </c>
    </row>
    <row r="98">
      <c r="A98" s="2">
        <f>IF(Z98="","",RANK(Z98,$Z$2:$Z$127))</f>
        <v/>
      </c>
      <c r="B98" t="inlineStr">
        <is>
          <t>National Geographic Islander Ii</t>
        </is>
      </c>
      <c r="D98" s="3" t="n">
        <v>48</v>
      </c>
      <c r="E98" s="3" t="n">
        <v>26</v>
      </c>
      <c r="F98" s="3" t="n">
        <v>49</v>
      </c>
      <c r="G98" s="3" t="n">
        <v>3</v>
      </c>
      <c r="H98" s="3" t="n"/>
      <c r="I98" s="3" t="n"/>
      <c r="J98" s="3" t="n"/>
      <c r="K98" s="3" t="n">
        <v>5</v>
      </c>
      <c r="M98" s="2">
        <f>IF(OR(F98="",G98="",D98=""),"",ROUND(F98*G98/D98,1))</f>
        <v/>
      </c>
      <c r="N98" s="2">
        <f>IF(OR(H98="",D98=""),"",ROUND(H98/D98,1))</f>
        <v/>
      </c>
      <c r="O98" s="2">
        <f>IFERROR(IF(M98="","",(M98-MIN($M$2:$M$127))/(MAX($M$2:$M$127)-MIN($M$2:$M$127))),"")</f>
        <v/>
      </c>
      <c r="P98" s="2">
        <f>IFERROR(IF(N98="","",(N98-MIN($N$2:$N$127))/(MAX($N$2:$N$127)-MIN($N$2:$N$127))),"")</f>
        <v/>
      </c>
      <c r="Q98" s="2">
        <f>IF(O98="","",IF(P98="",O98,(O98+P98)/2))</f>
        <v/>
      </c>
      <c r="R98" s="2">
        <f>IF(OR(I98="",D98=""),"",I98/D98)</f>
        <v/>
      </c>
      <c r="S98" s="2">
        <f>IFERROR(IF(R98="","",(R98-MIN($R$2:$R$127))/(MAX($R$2:$R$127)-MIN($R$2:$R$127))),"")</f>
        <v/>
      </c>
      <c r="T98" s="2">
        <f>IFERROR(IF(K98="","",(K98-MIN($K$2:$K$127))/(MAX($K$2:$K$127)-MIN($K$2:$K$127))),"")</f>
        <v/>
      </c>
      <c r="U98" s="2">
        <f>IFERROR(IF(L98="","",(L98-MIN($L$2:$L$127))/(MAX($L$2:$L$127)-MIN($L$2:$L$127))),"")</f>
        <v/>
      </c>
      <c r="V98" s="2">
        <f>IF(Q98="","",W_space*Q98+W_service*IF(S98="",0,S98)+W_cat*IF(T98="",0,T98)+W_itin*IF(U98="",0,U98))</f>
        <v/>
      </c>
      <c r="W98" s="2">
        <f>IF(OR(V98="",J98=""),"",V98/(J98/1000))</f>
        <v/>
      </c>
      <c r="X98" s="2">
        <f>IF(F98="",PenMissing,1)*IF(G98="",PenMissing,1)*IF(I98="",PenMissing,1)*IF(J98="",PenMissing,1)</f>
        <v/>
      </c>
      <c r="Y98" s="2">
        <f>IFERROR(IF(W98="","",100*(W98-MIN($W$2:$W$127))/(MAX($W$2:$W$127)-MIN($W$2:$W$127))),"")</f>
        <v/>
      </c>
      <c r="Z98" s="2">
        <f>IF(Y98="","",ROUND(Y98*X98,1))</f>
        <v/>
      </c>
      <c r="AA98" t="inlineStr">
        <is>
          <t>no_engine_data, missing_crew_count, missing_price_per_day</t>
        </is>
      </c>
    </row>
    <row r="99">
      <c r="A99" s="2">
        <f>IF(Z99="","",RANK(Z99,$Z$2:$Z$127))</f>
        <v/>
      </c>
      <c r="B99" t="inlineStr">
        <is>
          <t>Nemo I</t>
        </is>
      </c>
      <c r="C99" t="inlineStr">
        <is>
          <t>Budget</t>
        </is>
      </c>
      <c r="D99" s="3" t="n">
        <v>16</v>
      </c>
      <c r="E99" s="3" t="n">
        <v>7</v>
      </c>
      <c r="F99" s="3" t="n"/>
      <c r="G99" s="3" t="n">
        <v>10</v>
      </c>
      <c r="H99" s="3" t="n"/>
      <c r="I99" s="3" t="n"/>
      <c r="J99" s="3" t="n"/>
      <c r="K99" s="3" t="n"/>
      <c r="L99" t="n">
        <v>63.9</v>
      </c>
      <c r="M99" s="2">
        <f>IF(OR(F99="",G99="",D99=""),"",ROUND(F99*G99/D99,1))</f>
        <v/>
      </c>
      <c r="N99" s="2">
        <f>IF(OR(H99="",D99=""),"",ROUND(H99/D99,1))</f>
        <v/>
      </c>
      <c r="O99" s="2">
        <f>IFERROR(IF(M99="","",(M99-MIN($M$2:$M$127))/(MAX($M$2:$M$127)-MIN($M$2:$M$127))),"")</f>
        <v/>
      </c>
      <c r="P99" s="2">
        <f>IFERROR(IF(N99="","",(N99-MIN($N$2:$N$127))/(MAX($N$2:$N$127)-MIN($N$2:$N$127))),"")</f>
        <v/>
      </c>
      <c r="Q99" s="2">
        <f>IF(O99="","",IF(P99="",O99,(O99+P99)/2))</f>
        <v/>
      </c>
      <c r="R99" s="2">
        <f>IF(OR(I99="",D99=""),"",I99/D99)</f>
        <v/>
      </c>
      <c r="S99" s="2">
        <f>IFERROR(IF(R99="","",(R99-MIN($R$2:$R$127))/(MAX($R$2:$R$127)-MIN($R$2:$R$127))),"")</f>
        <v/>
      </c>
      <c r="T99" s="2">
        <f>IFERROR(IF(K99="","",(K99-MIN($K$2:$K$127))/(MAX($K$2:$K$127)-MIN($K$2:$K$127))),"")</f>
        <v/>
      </c>
      <c r="U99" s="2">
        <f>IFERROR(IF(L99="","",(L99-MIN($L$2:$L$127))/(MAX($L$2:$L$127)-MIN($L$2:$L$127))),"")</f>
        <v/>
      </c>
      <c r="V99" s="2">
        <f>IF(Q99="","",W_space*Q99+W_service*IF(S99="",0,S99)+W_cat*IF(T99="",0,T99)+W_itin*IF(U99="",0,U99))</f>
        <v/>
      </c>
      <c r="W99" s="2">
        <f>IF(OR(V99="",J99=""),"",V99/(J99/1000))</f>
        <v/>
      </c>
      <c r="X99" s="2">
        <f>IF(F99="",PenMissing,1)*IF(G99="",PenMissing,1)*IF(I99="",PenMissing,1)*IF(J99="",PenMissing,1)</f>
        <v/>
      </c>
      <c r="Y99" s="2">
        <f>IFERROR(IF(W99="","",100*(W99-MIN($W$2:$W$127))/(MAX($W$2:$W$127)-MIN($W$2:$W$127))),"")</f>
        <v/>
      </c>
      <c r="Z99" s="2">
        <f>IF(Y99="","",ROUND(Y99*X99,1))</f>
        <v/>
      </c>
      <c r="AA99" t="inlineStr">
        <is>
          <t>length_ft_m_mismatch, no_engine_data, missing_length_m, missing_speed_kn, missing_crew_count, missing_price_per_day</t>
        </is>
      </c>
    </row>
    <row r="100">
      <c r="A100" s="2">
        <f>IF(Z100="","",RANK(Z100,$Z$2:$Z$127))</f>
        <v/>
      </c>
      <c r="B100" t="inlineStr">
        <is>
          <t>Nemo Iii</t>
        </is>
      </c>
      <c r="C100" t="inlineStr">
        <is>
          <t>Premium</t>
        </is>
      </c>
      <c r="D100" s="3" t="n">
        <v>16</v>
      </c>
      <c r="E100" s="3" t="n">
        <v>8</v>
      </c>
      <c r="F100" s="3" t="n">
        <v>23</v>
      </c>
      <c r="G100" s="3" t="n"/>
      <c r="H100" s="3" t="n"/>
      <c r="I100" s="3" t="n">
        <v>8</v>
      </c>
      <c r="J100" s="3" t="n">
        <v>2600</v>
      </c>
      <c r="K100" s="3" t="n">
        <v>4</v>
      </c>
      <c r="L100" t="n">
        <v>62.8</v>
      </c>
      <c r="M100" s="2">
        <f>IF(OR(F100="",G100="",D100=""),"",ROUND(F100*G100/D100,1))</f>
        <v/>
      </c>
      <c r="N100" s="2">
        <f>IF(OR(H100="",D100=""),"",ROUND(H100/D100,1))</f>
        <v/>
      </c>
      <c r="O100" s="2">
        <f>IFERROR(IF(M100="","",(M100-MIN($M$2:$M$127))/(MAX($M$2:$M$127)-MIN($M$2:$M$127))),"")</f>
        <v/>
      </c>
      <c r="P100" s="2">
        <f>IFERROR(IF(N100="","",(N100-MIN($N$2:$N$127))/(MAX($N$2:$N$127)-MIN($N$2:$N$127))),"")</f>
        <v/>
      </c>
      <c r="Q100" s="2">
        <f>IF(O100="","",IF(P100="",O100,(O100+P100)/2))</f>
        <v/>
      </c>
      <c r="R100" s="2">
        <f>IF(OR(I100="",D100=""),"",I100/D100)</f>
        <v/>
      </c>
      <c r="S100" s="2">
        <f>IFERROR(IF(R100="","",(R100-MIN($R$2:$R$127))/(MAX($R$2:$R$127)-MIN($R$2:$R$127))),"")</f>
        <v/>
      </c>
      <c r="T100" s="2">
        <f>IFERROR(IF(K100="","",(K100-MIN($K$2:$K$127))/(MAX($K$2:$K$127)-MIN($K$2:$K$127))),"")</f>
        <v/>
      </c>
      <c r="U100" s="2">
        <f>IFERROR(IF(L100="","",(L100-MIN($L$2:$L$127))/(MAX($L$2:$L$127)-MIN($L$2:$L$127))),"")</f>
        <v/>
      </c>
      <c r="V100" s="2">
        <f>IF(Q100="","",W_space*Q100+W_service*IF(S100="",0,S100)+W_cat*IF(T100="",0,T100)+W_itin*IF(U100="",0,U100))</f>
        <v/>
      </c>
      <c r="W100" s="2">
        <f>IF(OR(V100="",J100=""),"",V100/(J100/1000))</f>
        <v/>
      </c>
      <c r="X100" s="2">
        <f>IF(F100="",PenMissing,1)*IF(G100="",PenMissing,1)*IF(I100="",PenMissing,1)*IF(J100="",PenMissing,1)</f>
        <v/>
      </c>
      <c r="Y100" s="2">
        <f>IFERROR(IF(W100="","",100*(W100-MIN($W$2:$W$127))/(MAX($W$2:$W$127)-MIN($W$2:$W$127))),"")</f>
        <v/>
      </c>
      <c r="Z100" s="2">
        <f>IF(Y100="","",ROUND(Y100*X100,1))</f>
        <v/>
      </c>
      <c r="AA100" t="inlineStr">
        <is>
          <t>missing_beam_m</t>
        </is>
      </c>
    </row>
    <row r="101">
      <c r="A101" s="2">
        <f>IF(Z101="","",RANK(Z101,$Z$2:$Z$127))</f>
        <v/>
      </c>
      <c r="B101" t="inlineStr">
        <is>
          <t>Nortada</t>
        </is>
      </c>
      <c r="C101" t="inlineStr">
        <is>
          <t>Premium</t>
        </is>
      </c>
      <c r="D101" s="3" t="n">
        <v>8</v>
      </c>
      <c r="E101" s="3" t="n">
        <v>4</v>
      </c>
      <c r="F101" s="3" t="n">
        <v>25.9</v>
      </c>
      <c r="G101" s="3" t="n"/>
      <c r="H101" s="3" t="n"/>
      <c r="I101" s="3" t="n">
        <v>5</v>
      </c>
      <c r="J101" s="3" t="n"/>
      <c r="K101" s="3" t="n">
        <v>4</v>
      </c>
      <c r="M101" s="2">
        <f>IF(OR(F101="",G101="",D101=""),"",ROUND(F101*G101/D101,1))</f>
        <v/>
      </c>
      <c r="N101" s="2">
        <f>IF(OR(H101="",D101=""),"",ROUND(H101/D101,1))</f>
        <v/>
      </c>
      <c r="O101" s="2">
        <f>IFERROR(IF(M101="","",(M101-MIN($M$2:$M$127))/(MAX($M$2:$M$127)-MIN($M$2:$M$127))),"")</f>
        <v/>
      </c>
      <c r="P101" s="2">
        <f>IFERROR(IF(N101="","",(N101-MIN($N$2:$N$127))/(MAX($N$2:$N$127)-MIN($N$2:$N$127))),"")</f>
        <v/>
      </c>
      <c r="Q101" s="2">
        <f>IF(O101="","",IF(P101="",O101,(O101+P101)/2))</f>
        <v/>
      </c>
      <c r="R101" s="2">
        <f>IF(OR(I101="",D101=""),"",I101/D101)</f>
        <v/>
      </c>
      <c r="S101" s="2">
        <f>IFERROR(IF(R101="","",(R101-MIN($R$2:$R$127))/(MAX($R$2:$R$127)-MIN($R$2:$R$127))),"")</f>
        <v/>
      </c>
      <c r="T101" s="2">
        <f>IFERROR(IF(K101="","",(K101-MIN($K$2:$K$127))/(MAX($K$2:$K$127)-MIN($K$2:$K$127))),"")</f>
        <v/>
      </c>
      <c r="U101" s="2">
        <f>IFERROR(IF(L101="","",(L101-MIN($L$2:$L$127))/(MAX($L$2:$L$127)-MIN($L$2:$L$127))),"")</f>
        <v/>
      </c>
      <c r="V101" s="2">
        <f>IF(Q101="","",W_space*Q101+W_service*IF(S101="",0,S101)+W_cat*IF(T101="",0,T101)+W_itin*IF(U101="",0,U101))</f>
        <v/>
      </c>
      <c r="W101" s="2">
        <f>IF(OR(V101="",J101=""),"",V101/(J101/1000))</f>
        <v/>
      </c>
      <c r="X101" s="2">
        <f>IF(F101="",PenMissing,1)*IF(G101="",PenMissing,1)*IF(I101="",PenMissing,1)*IF(J101="",PenMissing,1)</f>
        <v/>
      </c>
      <c r="Y101" s="2">
        <f>IFERROR(IF(W101="","",100*(W101-MIN($W$2:$W$127))/(MAX($W$2:$W$127)-MIN($W$2:$W$127))),"")</f>
        <v/>
      </c>
      <c r="Z101" s="2">
        <f>IF(Y101="","",ROUND(Y101*X101,1))</f>
        <v/>
      </c>
      <c r="AA101" t="inlineStr">
        <is>
          <t>missing_beam_m, missing_price_per_day</t>
        </is>
      </c>
    </row>
    <row r="102">
      <c r="A102" s="2">
        <f>IF(Z102="","",RANK(Z102,$Z$2:$Z$127))</f>
        <v/>
      </c>
      <c r="B102" t="inlineStr">
        <is>
          <t>Odyssey</t>
        </is>
      </c>
      <c r="C102" t="inlineStr">
        <is>
          <t>Premium</t>
        </is>
      </c>
      <c r="D102" s="3" t="n">
        <v>16</v>
      </c>
      <c r="E102" s="3" t="n">
        <v>10</v>
      </c>
      <c r="F102" s="3" t="n">
        <v>40.8</v>
      </c>
      <c r="G102" s="3" t="n"/>
      <c r="H102" s="3" t="n"/>
      <c r="I102" s="3" t="n"/>
      <c r="J102" s="3" t="n"/>
      <c r="K102" s="3" t="n"/>
      <c r="L102" t="n">
        <v>62</v>
      </c>
      <c r="M102" s="2">
        <f>IF(OR(F102="",G102="",D102=""),"",ROUND(F102*G102/D102,1))</f>
        <v/>
      </c>
      <c r="N102" s="2">
        <f>IF(OR(H102="",D102=""),"",ROUND(H102/D102,1))</f>
        <v/>
      </c>
      <c r="O102" s="2">
        <f>IFERROR(IF(M102="","",(M102-MIN($M$2:$M$127))/(MAX($M$2:$M$127)-MIN($M$2:$M$127))),"")</f>
        <v/>
      </c>
      <c r="P102" s="2">
        <f>IFERROR(IF(N102="","",(N102-MIN($N$2:$N$127))/(MAX($N$2:$N$127)-MIN($N$2:$N$127))),"")</f>
        <v/>
      </c>
      <c r="Q102" s="2">
        <f>IF(O102="","",IF(P102="",O102,(O102+P102)/2))</f>
        <v/>
      </c>
      <c r="R102" s="2">
        <f>IF(OR(I102="",D102=""),"",I102/D102)</f>
        <v/>
      </c>
      <c r="S102" s="2">
        <f>IFERROR(IF(R102="","",(R102-MIN($R$2:$R$127))/(MAX($R$2:$R$127)-MIN($R$2:$R$127))),"")</f>
        <v/>
      </c>
      <c r="T102" s="2">
        <f>IFERROR(IF(K102="","",(K102-MIN($K$2:$K$127))/(MAX($K$2:$K$127)-MIN($K$2:$K$127))),"")</f>
        <v/>
      </c>
      <c r="U102" s="2">
        <f>IFERROR(IF(L102="","",(L102-MIN($L$2:$L$127))/(MAX($L$2:$L$127)-MIN($L$2:$L$127))),"")</f>
        <v/>
      </c>
      <c r="V102" s="2">
        <f>IF(Q102="","",W_space*Q102+W_service*IF(S102="",0,S102)+W_cat*IF(T102="",0,T102)+W_itin*IF(U102="",0,U102))</f>
        <v/>
      </c>
      <c r="W102" s="2">
        <f>IF(OR(V102="",J102=""),"",V102/(J102/1000))</f>
        <v/>
      </c>
      <c r="X102" s="2">
        <f>IF(F102="",PenMissing,1)*IF(G102="",PenMissing,1)*IF(I102="",PenMissing,1)*IF(J102="",PenMissing,1)</f>
        <v/>
      </c>
      <c r="Y102" s="2">
        <f>IFERROR(IF(W102="","",100*(W102-MIN($W$2:$W$127))/(MAX($W$2:$W$127)-MIN($W$2:$W$127))),"")</f>
        <v/>
      </c>
      <c r="Z102" s="2">
        <f>IF(Y102="","",ROUND(Y102*X102,1))</f>
        <v/>
      </c>
      <c r="AA102" t="inlineStr">
        <is>
          <t>no_engine_data, missing_beam_m, missing_crew_count, missing_price_per_day</t>
        </is>
      </c>
    </row>
    <row r="103">
      <c r="A103" s="2">
        <f>IF(Z103="","",RANK(Z103,$Z$2:$Z$127))</f>
        <v/>
      </c>
      <c r="B103" t="inlineStr">
        <is>
          <t>Origin &amp; Theory</t>
        </is>
      </c>
      <c r="C103" t="inlineStr">
        <is>
          <t>Luxury</t>
        </is>
      </c>
      <c r="D103" s="3" t="n">
        <v>20</v>
      </c>
      <c r="E103" s="3" t="n"/>
      <c r="F103" s="3" t="n"/>
      <c r="G103" s="3" t="n">
        <v>8</v>
      </c>
      <c r="H103" s="3" t="n"/>
      <c r="I103" s="3" t="n"/>
      <c r="J103" s="3" t="n"/>
      <c r="K103" s="3" t="n"/>
      <c r="M103" s="2">
        <f>IF(OR(F103="",G103="",D103=""),"",ROUND(F103*G103/D103,1))</f>
        <v/>
      </c>
      <c r="N103" s="2">
        <f>IF(OR(H103="",D103=""),"",ROUND(H103/D103,1))</f>
        <v/>
      </c>
      <c r="O103" s="2">
        <f>IFERROR(IF(M103="","",(M103-MIN($M$2:$M$127))/(MAX($M$2:$M$127)-MIN($M$2:$M$127))),"")</f>
        <v/>
      </c>
      <c r="P103" s="2">
        <f>IFERROR(IF(N103="","",(N103-MIN($N$2:$N$127))/(MAX($N$2:$N$127)-MIN($N$2:$N$127))),"")</f>
        <v/>
      </c>
      <c r="Q103" s="2">
        <f>IF(O103="","",IF(P103="",O103,(O103+P103)/2))</f>
        <v/>
      </c>
      <c r="R103" s="2">
        <f>IF(OR(I103="",D103=""),"",I103/D103)</f>
        <v/>
      </c>
      <c r="S103" s="2">
        <f>IFERROR(IF(R103="","",(R103-MIN($R$2:$R$127))/(MAX($R$2:$R$127)-MIN($R$2:$R$127))),"")</f>
        <v/>
      </c>
      <c r="T103" s="2">
        <f>IFERROR(IF(K103="","",(K103-MIN($K$2:$K$127))/(MAX($K$2:$K$127)-MIN($K$2:$K$127))),"")</f>
        <v/>
      </c>
      <c r="U103" s="2">
        <f>IFERROR(IF(L103="","",(L103-MIN($L$2:$L$127))/(MAX($L$2:$L$127)-MIN($L$2:$L$127))),"")</f>
        <v/>
      </c>
      <c r="V103" s="2">
        <f>IF(Q103="","",W_space*Q103+W_service*IF(S103="",0,S103)+W_cat*IF(T103="",0,T103)+W_itin*IF(U103="",0,U103))</f>
        <v/>
      </c>
      <c r="W103" s="2">
        <f>IF(OR(V103="",J103=""),"",V103/(J103/1000))</f>
        <v/>
      </c>
      <c r="X103" s="2">
        <f>IF(F103="",PenMissing,1)*IF(G103="",PenMissing,1)*IF(I103="",PenMissing,1)*IF(J103="",PenMissing,1)</f>
        <v/>
      </c>
      <c r="Y103" s="2">
        <f>IFERROR(IF(W103="","",100*(W103-MIN($W$2:$W$127))/(MAX($W$2:$W$127)-MIN($W$2:$W$127))),"")</f>
        <v/>
      </c>
      <c r="Z103" s="2">
        <f>IF(Y103="","",ROUND(Y103*X103,1))</f>
        <v/>
      </c>
      <c r="AA103" t="inlineStr">
        <is>
          <t>length_ft_m_mismatch, no_engine_data, missing_length_m, missing_crew_count, missing_price_per_day</t>
        </is>
      </c>
    </row>
    <row r="104">
      <c r="A104" s="2">
        <f>IF(Z104="","",RANK(Z104,$Z$2:$Z$127))</f>
        <v/>
      </c>
      <c r="B104" t="inlineStr">
        <is>
          <t>Origin, Theory &amp; Evolve</t>
        </is>
      </c>
      <c r="C104" t="inlineStr">
        <is>
          <t>Luxury</t>
        </is>
      </c>
      <c r="D104" s="3" t="n">
        <v>20</v>
      </c>
      <c r="E104" s="3" t="n">
        <v>10</v>
      </c>
      <c r="F104" s="3" t="n"/>
      <c r="G104" s="3" t="n"/>
      <c r="H104" s="3" t="n"/>
      <c r="I104" s="3" t="n"/>
      <c r="J104" s="3" t="n"/>
      <c r="K104" s="3" t="n">
        <v>5</v>
      </c>
      <c r="L104" t="n">
        <v>61.5</v>
      </c>
      <c r="M104" s="2">
        <f>IF(OR(F104="",G104="",D104=""),"",ROUND(F104*G104/D104,1))</f>
        <v/>
      </c>
      <c r="N104" s="2">
        <f>IF(OR(H104="",D104=""),"",ROUND(H104/D104,1))</f>
        <v/>
      </c>
      <c r="O104" s="2">
        <f>IFERROR(IF(M104="","",(M104-MIN($M$2:$M$127))/(MAX($M$2:$M$127)-MIN($M$2:$M$127))),"")</f>
        <v/>
      </c>
      <c r="P104" s="2">
        <f>IFERROR(IF(N104="","",(N104-MIN($N$2:$N$127))/(MAX($N$2:$N$127)-MIN($N$2:$N$127))),"")</f>
        <v/>
      </c>
      <c r="Q104" s="2">
        <f>IF(O104="","",IF(P104="",O104,(O104+P104)/2))</f>
        <v/>
      </c>
      <c r="R104" s="2">
        <f>IF(OR(I104="",D104=""),"",I104/D104)</f>
        <v/>
      </c>
      <c r="S104" s="2">
        <f>IFERROR(IF(R104="","",(R104-MIN($R$2:$R$127))/(MAX($R$2:$R$127)-MIN($R$2:$R$127))),"")</f>
        <v/>
      </c>
      <c r="T104" s="2">
        <f>IFERROR(IF(K104="","",(K104-MIN($K$2:$K$127))/(MAX($K$2:$K$127)-MIN($K$2:$K$127))),"")</f>
        <v/>
      </c>
      <c r="U104" s="2">
        <f>IFERROR(IF(L104="","",(L104-MIN($L$2:$L$127))/(MAX($L$2:$L$127)-MIN($L$2:$L$127))),"")</f>
        <v/>
      </c>
      <c r="V104" s="2">
        <f>IF(Q104="","",W_space*Q104+W_service*IF(S104="",0,S104)+W_cat*IF(T104="",0,T104)+W_itin*IF(U104="",0,U104))</f>
        <v/>
      </c>
      <c r="W104" s="2">
        <f>IF(OR(V104="",J104=""),"",V104/(J104/1000))</f>
        <v/>
      </c>
      <c r="X104" s="2">
        <f>IF(F104="",PenMissing,1)*IF(G104="",PenMissing,1)*IF(I104="",PenMissing,1)*IF(J104="",PenMissing,1)</f>
        <v/>
      </c>
      <c r="Y104" s="2">
        <f>IFERROR(IF(W104="","",100*(W104-MIN($W$2:$W$127))/(MAX($W$2:$W$127)-MIN($W$2:$W$127))),"")</f>
        <v/>
      </c>
      <c r="Z104" s="2">
        <f>IF(Y104="","",ROUND(Y104*X104,1))</f>
        <v/>
      </c>
      <c r="AA104" t="inlineStr">
        <is>
          <t>length_ft_m_mismatch, missing_length_m, missing_beam_m, missing_crew_count, missing_price_per_day</t>
        </is>
      </c>
    </row>
    <row r="105">
      <c r="A105" s="2">
        <f>IF(Z105="","",RANK(Z105,$Z$2:$Z$127))</f>
        <v/>
      </c>
      <c r="B105" t="inlineStr">
        <is>
          <t>Petrel</t>
        </is>
      </c>
      <c r="C105" t="inlineStr">
        <is>
          <t>Luxury</t>
        </is>
      </c>
      <c r="D105" s="3" t="n">
        <v>16</v>
      </c>
      <c r="E105" s="3" t="n">
        <v>9</v>
      </c>
      <c r="F105" s="3" t="n">
        <v>35.1</v>
      </c>
      <c r="G105" s="3" t="n"/>
      <c r="H105" s="3" t="n"/>
      <c r="I105" s="3" t="n">
        <v>2</v>
      </c>
      <c r="J105" s="3" t="n"/>
      <c r="K105" s="3" t="n">
        <v>5</v>
      </c>
      <c r="L105" t="n">
        <v>61.3</v>
      </c>
      <c r="M105" s="2">
        <f>IF(OR(F105="",G105="",D105=""),"",ROUND(F105*G105/D105,1))</f>
        <v/>
      </c>
      <c r="N105" s="2">
        <f>IF(OR(H105="",D105=""),"",ROUND(H105/D105,1))</f>
        <v/>
      </c>
      <c r="O105" s="2">
        <f>IFERROR(IF(M105="","",(M105-MIN($M$2:$M$127))/(MAX($M$2:$M$127)-MIN($M$2:$M$127))),"")</f>
        <v/>
      </c>
      <c r="P105" s="2">
        <f>IFERROR(IF(N105="","",(N105-MIN($N$2:$N$127))/(MAX($N$2:$N$127)-MIN($N$2:$N$127))),"")</f>
        <v/>
      </c>
      <c r="Q105" s="2">
        <f>IF(O105="","",IF(P105="",O105,(O105+P105)/2))</f>
        <v/>
      </c>
      <c r="R105" s="2">
        <f>IF(OR(I105="",D105=""),"",I105/D105)</f>
        <v/>
      </c>
      <c r="S105" s="2">
        <f>IFERROR(IF(R105="","",(R105-MIN($R$2:$R$127))/(MAX($R$2:$R$127)-MIN($R$2:$R$127))),"")</f>
        <v/>
      </c>
      <c r="T105" s="2">
        <f>IFERROR(IF(K105="","",(K105-MIN($K$2:$K$127))/(MAX($K$2:$K$127)-MIN($K$2:$K$127))),"")</f>
        <v/>
      </c>
      <c r="U105" s="2">
        <f>IFERROR(IF(L105="","",(L105-MIN($L$2:$L$127))/(MAX($L$2:$L$127)-MIN($L$2:$L$127))),"")</f>
        <v/>
      </c>
      <c r="V105" s="2">
        <f>IF(Q105="","",W_space*Q105+W_service*IF(S105="",0,S105)+W_cat*IF(T105="",0,T105)+W_itin*IF(U105="",0,U105))</f>
        <v/>
      </c>
      <c r="W105" s="2">
        <f>IF(OR(V105="",J105=""),"",V105/(J105/1000))</f>
        <v/>
      </c>
      <c r="X105" s="2">
        <f>IF(F105="",PenMissing,1)*IF(G105="",PenMissing,1)*IF(I105="",PenMissing,1)*IF(J105="",PenMissing,1)</f>
        <v/>
      </c>
      <c r="Y105" s="2">
        <f>IFERROR(IF(W105="","",100*(W105-MIN($W$2:$W$127))/(MAX($W$2:$W$127)-MIN($W$2:$W$127))),"")</f>
        <v/>
      </c>
      <c r="Z105" s="2">
        <f>IF(Y105="","",ROUND(Y105*X105,1))</f>
        <v/>
      </c>
      <c r="AA105" t="inlineStr">
        <is>
          <t>missing_beam_m, missing_price_per_day</t>
        </is>
      </c>
    </row>
    <row r="106">
      <c r="A106" s="2">
        <f>IF(Z106="","",RANK(Z106,$Z$2:$Z$127))</f>
        <v/>
      </c>
      <c r="B106" t="inlineStr">
        <is>
          <t>QUEEN OF GALAPAGOS</t>
        </is>
      </c>
      <c r="C106" t="inlineStr">
        <is>
          <t>Tourist Superior</t>
        </is>
      </c>
      <c r="D106" s="3" t="n">
        <v>16</v>
      </c>
      <c r="E106" s="3" t="n">
        <v>10</v>
      </c>
      <c r="F106" s="3" t="n"/>
      <c r="G106" s="3" t="n"/>
      <c r="H106" s="3" t="n"/>
      <c r="I106" s="3" t="n"/>
      <c r="J106" s="3" t="n"/>
      <c r="K106" s="3" t="n"/>
      <c r="M106" s="2">
        <f>IF(OR(F106="",G106="",D106=""),"",ROUND(F106*G106/D106,1))</f>
        <v/>
      </c>
      <c r="N106" s="2">
        <f>IF(OR(H106="",D106=""),"",ROUND(H106/D106,1))</f>
        <v/>
      </c>
      <c r="O106" s="2">
        <f>IFERROR(IF(M106="","",(M106-MIN($M$2:$M$127))/(MAX($M$2:$M$127)-MIN($M$2:$M$127))),"")</f>
        <v/>
      </c>
      <c r="P106" s="2">
        <f>IFERROR(IF(N106="","",(N106-MIN($N$2:$N$127))/(MAX($N$2:$N$127)-MIN($N$2:$N$127))),"")</f>
        <v/>
      </c>
      <c r="Q106" s="2">
        <f>IF(O106="","",IF(P106="",O106,(O106+P106)/2))</f>
        <v/>
      </c>
      <c r="R106" s="2">
        <f>IF(OR(I106="",D106=""),"",I106/D106)</f>
        <v/>
      </c>
      <c r="S106" s="2">
        <f>IFERROR(IF(R106="","",(R106-MIN($R$2:$R$127))/(MAX($R$2:$R$127)-MIN($R$2:$R$127))),"")</f>
        <v/>
      </c>
      <c r="T106" s="2">
        <f>IFERROR(IF(K106="","",(K106-MIN($K$2:$K$127))/(MAX($K$2:$K$127)-MIN($K$2:$K$127))),"")</f>
        <v/>
      </c>
      <c r="U106" s="2">
        <f>IFERROR(IF(L106="","",(L106-MIN($L$2:$L$127))/(MAX($L$2:$L$127)-MIN($L$2:$L$127))),"")</f>
        <v/>
      </c>
      <c r="V106" s="2">
        <f>IF(Q106="","",W_space*Q106+W_service*IF(S106="",0,S106)+W_cat*IF(T106="",0,T106)+W_itin*IF(U106="",0,U106))</f>
        <v/>
      </c>
      <c r="W106" s="2">
        <f>IF(OR(V106="",J106=""),"",V106/(J106/1000))</f>
        <v/>
      </c>
      <c r="X106" s="2">
        <f>IF(F106="",PenMissing,1)*IF(G106="",PenMissing,1)*IF(I106="",PenMissing,1)*IF(J106="",PenMissing,1)</f>
        <v/>
      </c>
      <c r="Y106" s="2">
        <f>IFERROR(IF(W106="","",100*(W106-MIN($W$2:$W$127))/(MAX($W$2:$W$127)-MIN($W$2:$W$127))),"")</f>
        <v/>
      </c>
      <c r="Z106" s="2">
        <f>IF(Y106="","",ROUND(Y106*X106,1))</f>
        <v/>
      </c>
      <c r="AA106" t="inlineStr">
        <is>
          <t>no_engine_data, missing_length_m, missing_beam_m, missing_speed_kn, missing_crew_count, missing_price_per_day</t>
        </is>
      </c>
    </row>
    <row r="107">
      <c r="A107" s="2">
        <f>IF(Z107="","",RANK(Z107,$Z$2:$Z$127))</f>
        <v/>
      </c>
      <c r="B107" t="inlineStr">
        <is>
          <t>REINA SILVIA</t>
        </is>
      </c>
      <c r="C107" t="inlineStr">
        <is>
          <t>First Class</t>
        </is>
      </c>
      <c r="D107" s="3" t="n">
        <v>12</v>
      </c>
      <c r="E107" s="3" t="n">
        <v>6</v>
      </c>
      <c r="F107" s="3" t="n"/>
      <c r="G107" s="3" t="n"/>
      <c r="H107" s="3" t="n"/>
      <c r="I107" s="3" t="n"/>
      <c r="J107" s="3" t="n"/>
      <c r="K107" s="3" t="n"/>
      <c r="L107" t="n">
        <v>66.5</v>
      </c>
      <c r="M107" s="2">
        <f>IF(OR(F107="",G107="",D107=""),"",ROUND(F107*G107/D107,1))</f>
        <v/>
      </c>
      <c r="N107" s="2">
        <f>IF(OR(H107="",D107=""),"",ROUND(H107/D107,1))</f>
        <v/>
      </c>
      <c r="O107" s="2">
        <f>IFERROR(IF(M107="","",(M107-MIN($M$2:$M$127))/(MAX($M$2:$M$127)-MIN($M$2:$M$127))),"")</f>
        <v/>
      </c>
      <c r="P107" s="2">
        <f>IFERROR(IF(N107="","",(N107-MIN($N$2:$N$127))/(MAX($N$2:$N$127)-MIN($N$2:$N$127))),"")</f>
        <v/>
      </c>
      <c r="Q107" s="2">
        <f>IF(O107="","",IF(P107="",O107,(O107+P107)/2))</f>
        <v/>
      </c>
      <c r="R107" s="2">
        <f>IF(OR(I107="",D107=""),"",I107/D107)</f>
        <v/>
      </c>
      <c r="S107" s="2">
        <f>IFERROR(IF(R107="","",(R107-MIN($R$2:$R$127))/(MAX($R$2:$R$127)-MIN($R$2:$R$127))),"")</f>
        <v/>
      </c>
      <c r="T107" s="2">
        <f>IFERROR(IF(K107="","",(K107-MIN($K$2:$K$127))/(MAX($K$2:$K$127)-MIN($K$2:$K$127))),"")</f>
        <v/>
      </c>
      <c r="U107" s="2">
        <f>IFERROR(IF(L107="","",(L107-MIN($L$2:$L$127))/(MAX($L$2:$L$127)-MIN($L$2:$L$127))),"")</f>
        <v/>
      </c>
      <c r="V107" s="2">
        <f>IF(Q107="","",W_space*Q107+W_service*IF(S107="",0,S107)+W_cat*IF(T107="",0,T107)+W_itin*IF(U107="",0,U107))</f>
        <v/>
      </c>
      <c r="W107" s="2">
        <f>IF(OR(V107="",J107=""),"",V107/(J107/1000))</f>
        <v/>
      </c>
      <c r="X107" s="2">
        <f>IF(F107="",PenMissing,1)*IF(G107="",PenMissing,1)*IF(I107="",PenMissing,1)*IF(J107="",PenMissing,1)</f>
        <v/>
      </c>
      <c r="Y107" s="2">
        <f>IFERROR(IF(W107="","",100*(W107-MIN($W$2:$W$127))/(MAX($W$2:$W$127)-MIN($W$2:$W$127))),"")</f>
        <v/>
      </c>
      <c r="Z107" s="2">
        <f>IF(Y107="","",ROUND(Y107*X107,1))</f>
        <v/>
      </c>
      <c r="AA107" t="inlineStr">
        <is>
          <t>no_engine_data, missing_length_m, missing_beam_m, missing_speed_kn, missing_crew_count, missing_price_per_day</t>
        </is>
      </c>
    </row>
    <row r="108">
      <c r="A108" s="2">
        <f>IF(Z108="","",RANK(Z108,$Z$2:$Z$127))</f>
        <v/>
      </c>
      <c r="B108" t="inlineStr">
        <is>
          <t>Reina Silvia Voyager</t>
        </is>
      </c>
      <c r="C108" t="inlineStr">
        <is>
          <t>Premium</t>
        </is>
      </c>
      <c r="D108" s="3" t="n">
        <v>16</v>
      </c>
      <c r="E108" s="3" t="n">
        <v>10</v>
      </c>
      <c r="F108" s="3" t="n"/>
      <c r="G108" s="3" t="n"/>
      <c r="H108" s="3" t="n"/>
      <c r="I108" s="3" t="n">
        <v>8</v>
      </c>
      <c r="J108" s="3" t="n"/>
      <c r="K108" s="3" t="n">
        <v>4</v>
      </c>
      <c r="M108" s="2">
        <f>IF(OR(F108="",G108="",D108=""),"",ROUND(F108*G108/D108,1))</f>
        <v/>
      </c>
      <c r="N108" s="2">
        <f>IF(OR(H108="",D108=""),"",ROUND(H108/D108,1))</f>
        <v/>
      </c>
      <c r="O108" s="2">
        <f>IFERROR(IF(M108="","",(M108-MIN($M$2:$M$127))/(MAX($M$2:$M$127)-MIN($M$2:$M$127))),"")</f>
        <v/>
      </c>
      <c r="P108" s="2">
        <f>IFERROR(IF(N108="","",(N108-MIN($N$2:$N$127))/(MAX($N$2:$N$127)-MIN($N$2:$N$127))),"")</f>
        <v/>
      </c>
      <c r="Q108" s="2">
        <f>IF(O108="","",IF(P108="",O108,(O108+P108)/2))</f>
        <v/>
      </c>
      <c r="R108" s="2">
        <f>IF(OR(I108="",D108=""),"",I108/D108)</f>
        <v/>
      </c>
      <c r="S108" s="2">
        <f>IFERROR(IF(R108="","",(R108-MIN($R$2:$R$127))/(MAX($R$2:$R$127)-MIN($R$2:$R$127))),"")</f>
        <v/>
      </c>
      <c r="T108" s="2">
        <f>IFERROR(IF(K108="","",(K108-MIN($K$2:$K$127))/(MAX($K$2:$K$127)-MIN($K$2:$K$127))),"")</f>
        <v/>
      </c>
      <c r="U108" s="2">
        <f>IFERROR(IF(L108="","",(L108-MIN($L$2:$L$127))/(MAX($L$2:$L$127)-MIN($L$2:$L$127))),"")</f>
        <v/>
      </c>
      <c r="V108" s="2">
        <f>IF(Q108="","",W_space*Q108+W_service*IF(S108="",0,S108)+W_cat*IF(T108="",0,T108)+W_itin*IF(U108="",0,U108))</f>
        <v/>
      </c>
      <c r="W108" s="2">
        <f>IF(OR(V108="",J108=""),"",V108/(J108/1000))</f>
        <v/>
      </c>
      <c r="X108" s="2">
        <f>IF(F108="",PenMissing,1)*IF(G108="",PenMissing,1)*IF(I108="",PenMissing,1)*IF(J108="",PenMissing,1)</f>
        <v/>
      </c>
      <c r="Y108" s="2">
        <f>IFERROR(IF(W108="","",100*(W108-MIN($W$2:$W$127))/(MAX($W$2:$W$127)-MIN($W$2:$W$127))),"")</f>
        <v/>
      </c>
      <c r="Z108" s="2">
        <f>IF(Y108="","",ROUND(Y108*X108,1))</f>
        <v/>
      </c>
      <c r="AA108" t="inlineStr">
        <is>
          <t>length_ft_m_mismatch, no_engine_data, missing_length_m, missing_beam_m, missing_price_per_day</t>
        </is>
      </c>
    </row>
    <row r="109">
      <c r="A109" s="2">
        <f>IF(Z109="","",RANK(Z109,$Z$2:$Z$127))</f>
        <v/>
      </c>
      <c r="B109" t="inlineStr">
        <is>
          <t>Samba</t>
        </is>
      </c>
      <c r="C109" t="inlineStr">
        <is>
          <t>Classic</t>
        </is>
      </c>
      <c r="D109" s="3" t="n">
        <v>14</v>
      </c>
      <c r="E109" s="3" t="n">
        <v>7</v>
      </c>
      <c r="F109" s="3" t="n"/>
      <c r="G109" s="3" t="n"/>
      <c r="H109" s="3" t="n"/>
      <c r="I109" s="3" t="n">
        <v>7</v>
      </c>
      <c r="J109" s="3" t="n">
        <v>5140</v>
      </c>
      <c r="K109" s="3" t="n">
        <v>3</v>
      </c>
      <c r="L109" t="n">
        <v>65.40000000000001</v>
      </c>
      <c r="M109" s="2">
        <f>IF(OR(F109="",G109="",D109=""),"",ROUND(F109*G109/D109,1))</f>
        <v/>
      </c>
      <c r="N109" s="2">
        <f>IF(OR(H109="",D109=""),"",ROUND(H109/D109,1))</f>
        <v/>
      </c>
      <c r="O109" s="2">
        <f>IFERROR(IF(M109="","",(M109-MIN($M$2:$M$127))/(MAX($M$2:$M$127)-MIN($M$2:$M$127))),"")</f>
        <v/>
      </c>
      <c r="P109" s="2">
        <f>IFERROR(IF(N109="","",(N109-MIN($N$2:$N$127))/(MAX($N$2:$N$127)-MIN($N$2:$N$127))),"")</f>
        <v/>
      </c>
      <c r="Q109" s="2">
        <f>IF(O109="","",IF(P109="",O109,(O109+P109)/2))</f>
        <v/>
      </c>
      <c r="R109" s="2">
        <f>IF(OR(I109="",D109=""),"",I109/D109)</f>
        <v/>
      </c>
      <c r="S109" s="2">
        <f>IFERROR(IF(R109="","",(R109-MIN($R$2:$R$127))/(MAX($R$2:$R$127)-MIN($R$2:$R$127))),"")</f>
        <v/>
      </c>
      <c r="T109" s="2">
        <f>IFERROR(IF(K109="","",(K109-MIN($K$2:$K$127))/(MAX($K$2:$K$127)-MIN($K$2:$K$127))),"")</f>
        <v/>
      </c>
      <c r="U109" s="2">
        <f>IFERROR(IF(L109="","",(L109-MIN($L$2:$L$127))/(MAX($L$2:$L$127)-MIN($L$2:$L$127))),"")</f>
        <v/>
      </c>
      <c r="V109" s="2">
        <f>IF(Q109="","",W_space*Q109+W_service*IF(S109="",0,S109)+W_cat*IF(T109="",0,T109)+W_itin*IF(U109="",0,U109))</f>
        <v/>
      </c>
      <c r="W109" s="2">
        <f>IF(OR(V109="",J109=""),"",V109/(J109/1000))</f>
        <v/>
      </c>
      <c r="X109" s="2">
        <f>IF(F109="",PenMissing,1)*IF(G109="",PenMissing,1)*IF(I109="",PenMissing,1)*IF(J109="",PenMissing,1)</f>
        <v/>
      </c>
      <c r="Y109" s="2">
        <f>IFERROR(IF(W109="","",100*(W109-MIN($W$2:$W$127))/(MAX($W$2:$W$127)-MIN($W$2:$W$127))),"")</f>
        <v/>
      </c>
      <c r="Z109" s="2">
        <f>IF(Y109="","",ROUND(Y109*X109,1))</f>
        <v/>
      </c>
      <c r="AA109" t="inlineStr">
        <is>
          <t>length_out_of_range, length_ft_m_mismatch, missing_length_m, missing_beam_m</t>
        </is>
      </c>
    </row>
    <row r="110">
      <c r="A110" s="2">
        <f>IF(Z110="","",RANK(Z110,$Z$2:$Z$127))</f>
        <v/>
      </c>
      <c r="B110" t="inlineStr">
        <is>
          <t>Santa Cruz Ii</t>
        </is>
      </c>
      <c r="C110" t="inlineStr">
        <is>
          <t>Premium</t>
        </is>
      </c>
      <c r="D110" s="3" t="n">
        <v>90</v>
      </c>
      <c r="E110" s="3" t="n">
        <v>50</v>
      </c>
      <c r="F110" s="3" t="n">
        <v>72</v>
      </c>
      <c r="G110" s="3" t="n">
        <v>4</v>
      </c>
      <c r="H110" s="3" t="n"/>
      <c r="I110" s="3" t="n">
        <v>61</v>
      </c>
      <c r="J110" s="3" t="n"/>
      <c r="K110" s="3" t="n">
        <v>5</v>
      </c>
      <c r="L110" t="n">
        <v>61.5</v>
      </c>
      <c r="M110" s="2">
        <f>IF(OR(F110="",G110="",D110=""),"",ROUND(F110*G110/D110,1))</f>
        <v/>
      </c>
      <c r="N110" s="2">
        <f>IF(OR(H110="",D110=""),"",ROUND(H110/D110,1))</f>
        <v/>
      </c>
      <c r="O110" s="2">
        <f>IFERROR(IF(M110="","",(M110-MIN($M$2:$M$127))/(MAX($M$2:$M$127)-MIN($M$2:$M$127))),"")</f>
        <v/>
      </c>
      <c r="P110" s="2">
        <f>IFERROR(IF(N110="","",(N110-MIN($N$2:$N$127))/(MAX($N$2:$N$127)-MIN($N$2:$N$127))),"")</f>
        <v/>
      </c>
      <c r="Q110" s="2">
        <f>IF(O110="","",IF(P110="",O110,(O110+P110)/2))</f>
        <v/>
      </c>
      <c r="R110" s="2">
        <f>IF(OR(I110="",D110=""),"",I110/D110)</f>
        <v/>
      </c>
      <c r="S110" s="2">
        <f>IFERROR(IF(R110="","",(R110-MIN($R$2:$R$127))/(MAX($R$2:$R$127)-MIN($R$2:$R$127))),"")</f>
        <v/>
      </c>
      <c r="T110" s="2">
        <f>IFERROR(IF(K110="","",(K110-MIN($K$2:$K$127))/(MAX($K$2:$K$127)-MIN($K$2:$K$127))),"")</f>
        <v/>
      </c>
      <c r="U110" s="2">
        <f>IFERROR(IF(L110="","",(L110-MIN($L$2:$L$127))/(MAX($L$2:$L$127)-MIN($L$2:$L$127))),"")</f>
        <v/>
      </c>
      <c r="V110" s="2">
        <f>IF(Q110="","",W_space*Q110+W_service*IF(S110="",0,S110)+W_cat*IF(T110="",0,T110)+W_itin*IF(U110="",0,U110))</f>
        <v/>
      </c>
      <c r="W110" s="2">
        <f>IF(OR(V110="",J110=""),"",V110/(J110/1000))</f>
        <v/>
      </c>
      <c r="X110" s="2">
        <f>IF(F110="",PenMissing,1)*IF(G110="",PenMissing,1)*IF(I110="",PenMissing,1)*IF(J110="",PenMissing,1)</f>
        <v/>
      </c>
      <c r="Y110" s="2">
        <f>IFERROR(IF(W110="","",100*(W110-MIN($W$2:$W$127))/(MAX($W$2:$W$127)-MIN($W$2:$W$127))),"")</f>
        <v/>
      </c>
      <c r="Z110" s="2">
        <f>IF(Y110="","",ROUND(Y110*X110,1))</f>
        <v/>
      </c>
      <c r="AA110" t="inlineStr">
        <is>
          <t>length_ft_m_mismatch, missing_price_per_day</t>
        </is>
      </c>
    </row>
    <row r="111">
      <c r="A111" s="2">
        <f>IF(Z111="","",RANK(Z111,$Z$2:$Z$127))</f>
        <v/>
      </c>
      <c r="B111" t="inlineStr">
        <is>
          <t>SEA MAN JOURNEY</t>
        </is>
      </c>
      <c r="C111" t="inlineStr">
        <is>
          <t>First Class</t>
        </is>
      </c>
      <c r="D111" s="3" t="n">
        <v>16</v>
      </c>
      <c r="E111" s="3" t="n">
        <v>8</v>
      </c>
      <c r="F111" s="3" t="n"/>
      <c r="G111" s="3" t="n"/>
      <c r="H111" s="3" t="n"/>
      <c r="I111" s="3" t="n"/>
      <c r="J111" s="3" t="n"/>
      <c r="K111" s="3" t="n"/>
      <c r="L111" t="n">
        <v>61.9</v>
      </c>
      <c r="M111" s="2">
        <f>IF(OR(F111="",G111="",D111=""),"",ROUND(F111*G111/D111,1))</f>
        <v/>
      </c>
      <c r="N111" s="2">
        <f>IF(OR(H111="",D111=""),"",ROUND(H111/D111,1))</f>
        <v/>
      </c>
      <c r="O111" s="2">
        <f>IFERROR(IF(M111="","",(M111-MIN($M$2:$M$127))/(MAX($M$2:$M$127)-MIN($M$2:$M$127))),"")</f>
        <v/>
      </c>
      <c r="P111" s="2">
        <f>IFERROR(IF(N111="","",(N111-MIN($N$2:$N$127))/(MAX($N$2:$N$127)-MIN($N$2:$N$127))),"")</f>
        <v/>
      </c>
      <c r="Q111" s="2">
        <f>IF(O111="","",IF(P111="",O111,(O111+P111)/2))</f>
        <v/>
      </c>
      <c r="R111" s="2">
        <f>IF(OR(I111="",D111=""),"",I111/D111)</f>
        <v/>
      </c>
      <c r="S111" s="2">
        <f>IFERROR(IF(R111="","",(R111-MIN($R$2:$R$127))/(MAX($R$2:$R$127)-MIN($R$2:$R$127))),"")</f>
        <v/>
      </c>
      <c r="T111" s="2">
        <f>IFERROR(IF(K111="","",(K111-MIN($K$2:$K$127))/(MAX($K$2:$K$127)-MIN($K$2:$K$127))),"")</f>
        <v/>
      </c>
      <c r="U111" s="2">
        <f>IFERROR(IF(L111="","",(L111-MIN($L$2:$L$127))/(MAX($L$2:$L$127)-MIN($L$2:$L$127))),"")</f>
        <v/>
      </c>
      <c r="V111" s="2">
        <f>IF(Q111="","",W_space*Q111+W_service*IF(S111="",0,S111)+W_cat*IF(T111="",0,T111)+W_itin*IF(U111="",0,U111))</f>
        <v/>
      </c>
      <c r="W111" s="2">
        <f>IF(OR(V111="",J111=""),"",V111/(J111/1000))</f>
        <v/>
      </c>
      <c r="X111" s="2">
        <f>IF(F111="",PenMissing,1)*IF(G111="",PenMissing,1)*IF(I111="",PenMissing,1)*IF(J111="",PenMissing,1)</f>
        <v/>
      </c>
      <c r="Y111" s="2">
        <f>IFERROR(IF(W111="","",100*(W111-MIN($W$2:$W$127))/(MAX($W$2:$W$127)-MIN($W$2:$W$127))),"")</f>
        <v/>
      </c>
      <c r="Z111" s="2">
        <f>IF(Y111="","",ROUND(Y111*X111,1))</f>
        <v/>
      </c>
      <c r="AA111" t="inlineStr">
        <is>
          <t>no_engine_data, missing_length_m, missing_beam_m, missing_speed_kn, missing_crew_count, missing_price_per_day</t>
        </is>
      </c>
    </row>
    <row r="112">
      <c r="A112" s="2">
        <f>IF(Z112="","",RANK(Z112,$Z$2:$Z$127))</f>
        <v/>
      </c>
      <c r="B112" t="inlineStr">
        <is>
          <t>Galapagos Cruise Ships</t>
        </is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M112" s="2">
        <f>IF(OR(F112="",G112="",D112=""),"",ROUND(F112*G112/D112,1))</f>
        <v/>
      </c>
      <c r="N112" s="2">
        <f>IF(OR(H112="",D112=""),"",ROUND(H112/D112,1))</f>
        <v/>
      </c>
      <c r="O112" s="2">
        <f>IFERROR(IF(M112="","",(M112-MIN($M$2:$M$127))/(MAX($M$2:$M$127)-MIN($M$2:$M$127))),"")</f>
        <v/>
      </c>
      <c r="P112" s="2">
        <f>IFERROR(IF(N112="","",(N112-MIN($N$2:$N$127))/(MAX($N$2:$N$127)-MIN($N$2:$N$127))),"")</f>
        <v/>
      </c>
      <c r="Q112" s="2">
        <f>IF(O112="","",IF(P112="",O112,(O112+P112)/2))</f>
        <v/>
      </c>
      <c r="R112" s="2">
        <f>IF(OR(I112="",D112=""),"",I112/D112)</f>
        <v/>
      </c>
      <c r="S112" s="2">
        <f>IFERROR(IF(R112="","",(R112-MIN($R$2:$R$127))/(MAX($R$2:$R$127)-MIN($R$2:$R$127))),"")</f>
        <v/>
      </c>
      <c r="T112" s="2">
        <f>IFERROR(IF(K112="","",(K112-MIN($K$2:$K$127))/(MAX($K$2:$K$127)-MIN($K$2:$K$127))),"")</f>
        <v/>
      </c>
      <c r="U112" s="2">
        <f>IFERROR(IF(L112="","",(L112-MIN($L$2:$L$127))/(MAX($L$2:$L$127)-MIN($L$2:$L$127))),"")</f>
        <v/>
      </c>
      <c r="V112" s="2">
        <f>IF(Q112="","",W_space*Q112+W_service*IF(S112="",0,S112)+W_cat*IF(T112="",0,T112)+W_itin*IF(U112="",0,U112))</f>
        <v/>
      </c>
      <c r="W112" s="2">
        <f>IF(OR(V112="",J112=""),"",V112/(J112/1000))</f>
        <v/>
      </c>
      <c r="X112" s="2">
        <f>IF(F112="",PenMissing,1)*IF(G112="",PenMissing,1)*IF(I112="",PenMissing,1)*IF(J112="",PenMissing,1)</f>
        <v/>
      </c>
      <c r="Y112" s="2">
        <f>IFERROR(IF(W112="","",100*(W112-MIN($W$2:$W$127))/(MAX($W$2:$W$127)-MIN($W$2:$W$127))),"")</f>
        <v/>
      </c>
      <c r="Z112" s="2">
        <f>IF(Y112="","",ROUND(Y112*X112,1))</f>
        <v/>
      </c>
      <c r="AA112" t="inlineStr">
        <is>
          <t>no_engine_data, missing_length_m, missing_beam_m, missing_speed_kn, missing_crew_count, missing_price_per_day</t>
        </is>
      </c>
    </row>
    <row r="113">
      <c r="A113" s="2">
        <f>IF(Z113="","",RANK(Z113,$Z$2:$Z$127))</f>
        <v/>
      </c>
      <c r="B113" t="inlineStr">
        <is>
          <t>Silver</t>
        </is>
      </c>
      <c r="C113" t="inlineStr">
        <is>
          <t>Luxury</t>
        </is>
      </c>
      <c r="D113" s="3" t="n">
        <v>100</v>
      </c>
      <c r="E113" s="3" t="n"/>
      <c r="F113" s="3" t="n">
        <v>88</v>
      </c>
      <c r="G113" s="3" t="n">
        <v>15</v>
      </c>
      <c r="H113" s="3" t="n"/>
      <c r="I113" s="3" t="n"/>
      <c r="J113" s="3" t="n"/>
      <c r="K113" s="3" t="n"/>
      <c r="M113" s="2">
        <f>IF(OR(F113="",G113="",D113=""),"",ROUND(F113*G113/D113,1))</f>
        <v/>
      </c>
      <c r="N113" s="2">
        <f>IF(OR(H113="",D113=""),"",ROUND(H113/D113,1))</f>
        <v/>
      </c>
      <c r="O113" s="2">
        <f>IFERROR(IF(M113="","",(M113-MIN($M$2:$M$127))/(MAX($M$2:$M$127)-MIN($M$2:$M$127))),"")</f>
        <v/>
      </c>
      <c r="P113" s="2">
        <f>IFERROR(IF(N113="","",(N113-MIN($N$2:$N$127))/(MAX($N$2:$N$127)-MIN($N$2:$N$127))),"")</f>
        <v/>
      </c>
      <c r="Q113" s="2">
        <f>IF(O113="","",IF(P113="",O113,(O113+P113)/2))</f>
        <v/>
      </c>
      <c r="R113" s="2">
        <f>IF(OR(I113="",D113=""),"",I113/D113)</f>
        <v/>
      </c>
      <c r="S113" s="2">
        <f>IFERROR(IF(R113="","",(R113-MIN($R$2:$R$127))/(MAX($R$2:$R$127)-MIN($R$2:$R$127))),"")</f>
        <v/>
      </c>
      <c r="T113" s="2">
        <f>IFERROR(IF(K113="","",(K113-MIN($K$2:$K$127))/(MAX($K$2:$K$127)-MIN($K$2:$K$127))),"")</f>
        <v/>
      </c>
      <c r="U113" s="2">
        <f>IFERROR(IF(L113="","",(L113-MIN($L$2:$L$127))/(MAX($L$2:$L$127)-MIN($L$2:$L$127))),"")</f>
        <v/>
      </c>
      <c r="V113" s="2">
        <f>IF(Q113="","",W_space*Q113+W_service*IF(S113="",0,S113)+W_cat*IF(T113="",0,T113)+W_itin*IF(U113="",0,U113))</f>
        <v/>
      </c>
      <c r="W113" s="2">
        <f>IF(OR(V113="",J113=""),"",V113/(J113/1000))</f>
        <v/>
      </c>
      <c r="X113" s="2">
        <f>IF(F113="",PenMissing,1)*IF(G113="",PenMissing,1)*IF(I113="",PenMissing,1)*IF(J113="",PenMissing,1)</f>
        <v/>
      </c>
      <c r="Y113" s="2">
        <f>IFERROR(IF(W113="","",100*(W113-MIN($W$2:$W$127))/(MAX($W$2:$W$127)-MIN($W$2:$W$127))),"")</f>
        <v/>
      </c>
      <c r="Z113" s="2">
        <f>IF(Y113="","",ROUND(Y113*X113,1))</f>
        <v/>
      </c>
      <c r="AA113" t="inlineStr">
        <is>
          <t>no_engine_data, missing_crew_count, missing_price_per_day</t>
        </is>
      </c>
    </row>
    <row r="114">
      <c r="A114" s="2">
        <f>IF(Z114="","",RANK(Z114,$Z$2:$Z$127))</f>
        <v/>
      </c>
      <c r="B114" t="inlineStr">
        <is>
          <t>Silver Origin</t>
        </is>
      </c>
      <c r="C114" t="inlineStr">
        <is>
          <t>Luxury</t>
        </is>
      </c>
      <c r="D114" s="3" t="n">
        <v>100</v>
      </c>
      <c r="E114" s="3" t="n">
        <v>62</v>
      </c>
      <c r="F114" s="3" t="n">
        <v>35</v>
      </c>
      <c r="G114" s="3" t="n"/>
      <c r="H114" s="3" t="n"/>
      <c r="I114" s="3" t="n">
        <v>11</v>
      </c>
      <c r="J114" s="3" t="n"/>
      <c r="K114" s="3" t="n">
        <v>5</v>
      </c>
      <c r="M114" s="2">
        <f>IF(OR(F114="",G114="",D114=""),"",ROUND(F114*G114/D114,1))</f>
        <v/>
      </c>
      <c r="N114" s="2">
        <f>IF(OR(H114="",D114=""),"",ROUND(H114/D114,1))</f>
        <v/>
      </c>
      <c r="O114" s="2">
        <f>IFERROR(IF(M114="","",(M114-MIN($M$2:$M$127))/(MAX($M$2:$M$127)-MIN($M$2:$M$127))),"")</f>
        <v/>
      </c>
      <c r="P114" s="2">
        <f>IFERROR(IF(N114="","",(N114-MIN($N$2:$N$127))/(MAX($N$2:$N$127)-MIN($N$2:$N$127))),"")</f>
        <v/>
      </c>
      <c r="Q114" s="2">
        <f>IF(O114="","",IF(P114="",O114,(O114+P114)/2))</f>
        <v/>
      </c>
      <c r="R114" s="2">
        <f>IF(OR(I114="",D114=""),"",I114/D114)</f>
        <v/>
      </c>
      <c r="S114" s="2">
        <f>IFERROR(IF(R114="","",(R114-MIN($R$2:$R$127))/(MAX($R$2:$R$127)-MIN($R$2:$R$127))),"")</f>
        <v/>
      </c>
      <c r="T114" s="2">
        <f>IFERROR(IF(K114="","",(K114-MIN($K$2:$K$127))/(MAX($K$2:$K$127)-MIN($K$2:$K$127))),"")</f>
        <v/>
      </c>
      <c r="U114" s="2">
        <f>IFERROR(IF(L114="","",(L114-MIN($L$2:$L$127))/(MAX($L$2:$L$127)-MIN($L$2:$L$127))),"")</f>
        <v/>
      </c>
      <c r="V114" s="2">
        <f>IF(Q114="","",W_space*Q114+W_service*IF(S114="",0,S114)+W_cat*IF(T114="",0,T114)+W_itin*IF(U114="",0,U114))</f>
        <v/>
      </c>
      <c r="W114" s="2">
        <f>IF(OR(V114="",J114=""),"",V114/(J114/1000))</f>
        <v/>
      </c>
      <c r="X114" s="2">
        <f>IF(F114="",PenMissing,1)*IF(G114="",PenMissing,1)*IF(I114="",PenMissing,1)*IF(J114="",PenMissing,1)</f>
        <v/>
      </c>
      <c r="Y114" s="2">
        <f>IFERROR(IF(W114="","",100*(W114-MIN($W$2:$W$127))/(MAX($W$2:$W$127)-MIN($W$2:$W$127))),"")</f>
        <v/>
      </c>
      <c r="Z114" s="2">
        <f>IF(Y114="","",ROUND(Y114*X114,1))</f>
        <v/>
      </c>
      <c r="AA114" t="inlineStr">
        <is>
          <t>missing_beam_m, missing_price_per_day</t>
        </is>
      </c>
    </row>
    <row r="115">
      <c r="A115" s="2">
        <f>IF(Z115="","",RANK(Z115,$Z$2:$Z$127))</f>
        <v/>
      </c>
      <c r="B115" t="inlineStr">
        <is>
          <t>Galapagos Sky</t>
        </is>
      </c>
      <c r="C115" t="inlineStr">
        <is>
          <t>Premium</t>
        </is>
      </c>
      <c r="D115" s="3" t="n">
        <v>16</v>
      </c>
      <c r="E115" s="3" t="n">
        <v>8</v>
      </c>
      <c r="F115" s="3" t="n">
        <v>30</v>
      </c>
      <c r="G115" s="3" t="n">
        <v>7</v>
      </c>
      <c r="H115" s="3" t="n"/>
      <c r="I115" s="3" t="n">
        <v>3</v>
      </c>
      <c r="J115" s="3" t="n"/>
      <c r="K115" s="3" t="n">
        <v>4</v>
      </c>
      <c r="M115" s="2">
        <f>IF(OR(F115="",G115="",D115=""),"",ROUND(F115*G115/D115,1))</f>
        <v/>
      </c>
      <c r="N115" s="2">
        <f>IF(OR(H115="",D115=""),"",ROUND(H115/D115,1))</f>
        <v/>
      </c>
      <c r="O115" s="2">
        <f>IFERROR(IF(M115="","",(M115-MIN($M$2:$M$127))/(MAX($M$2:$M$127)-MIN($M$2:$M$127))),"")</f>
        <v/>
      </c>
      <c r="P115" s="2">
        <f>IFERROR(IF(N115="","",(N115-MIN($N$2:$N$127))/(MAX($N$2:$N$127)-MIN($N$2:$N$127))),"")</f>
        <v/>
      </c>
      <c r="Q115" s="2">
        <f>IF(O115="","",IF(P115="",O115,(O115+P115)/2))</f>
        <v/>
      </c>
      <c r="R115" s="2">
        <f>IF(OR(I115="",D115=""),"",I115/D115)</f>
        <v/>
      </c>
      <c r="S115" s="2">
        <f>IFERROR(IF(R115="","",(R115-MIN($R$2:$R$127))/(MAX($R$2:$R$127)-MIN($R$2:$R$127))),"")</f>
        <v/>
      </c>
      <c r="T115" s="2">
        <f>IFERROR(IF(K115="","",(K115-MIN($K$2:$K$127))/(MAX($K$2:$K$127)-MIN($K$2:$K$127))),"")</f>
        <v/>
      </c>
      <c r="U115" s="2">
        <f>IFERROR(IF(L115="","",(L115-MIN($L$2:$L$127))/(MAX($L$2:$L$127)-MIN($L$2:$L$127))),"")</f>
        <v/>
      </c>
      <c r="V115" s="2">
        <f>IF(Q115="","",W_space*Q115+W_service*IF(S115="",0,S115)+W_cat*IF(T115="",0,T115)+W_itin*IF(U115="",0,U115))</f>
        <v/>
      </c>
      <c r="W115" s="2">
        <f>IF(OR(V115="",J115=""),"",V115/(J115/1000))</f>
        <v/>
      </c>
      <c r="X115" s="2">
        <f>IF(F115="",PenMissing,1)*IF(G115="",PenMissing,1)*IF(I115="",PenMissing,1)*IF(J115="",PenMissing,1)</f>
        <v/>
      </c>
      <c r="Y115" s="2">
        <f>IFERROR(IF(W115="","",100*(W115-MIN($W$2:$W$127))/(MAX($W$2:$W$127)-MIN($W$2:$W$127))),"")</f>
        <v/>
      </c>
      <c r="Z115" s="2">
        <f>IF(Y115="","",ROUND(Y115*X115,1))</f>
        <v/>
      </c>
      <c r="AA115" t="inlineStr">
        <is>
          <t>missing_price_per_day</t>
        </is>
      </c>
    </row>
    <row r="116">
      <c r="A116" s="2">
        <f>IF(Z116="","",RANK(Z116,$Z$2:$Z$127))</f>
        <v/>
      </c>
      <c r="B116" t="inlineStr">
        <is>
          <t>Stella Maris</t>
        </is>
      </c>
      <c r="D116" s="3" t="n">
        <v>12</v>
      </c>
      <c r="E116" s="3" t="n">
        <v>7</v>
      </c>
      <c r="F116" s="3" t="n">
        <v>38</v>
      </c>
      <c r="G116" s="3" t="n">
        <v>8</v>
      </c>
      <c r="H116" s="3" t="n"/>
      <c r="I116" s="3" t="n">
        <v>10</v>
      </c>
      <c r="J116" s="3" t="n"/>
      <c r="K116" s="3" t="n">
        <v>5</v>
      </c>
      <c r="M116" s="2">
        <f>IF(OR(F116="",G116="",D116=""),"",ROUND(F116*G116/D116,1))</f>
        <v/>
      </c>
      <c r="N116" s="2">
        <f>IF(OR(H116="",D116=""),"",ROUND(H116/D116,1))</f>
        <v/>
      </c>
      <c r="O116" s="2">
        <f>IFERROR(IF(M116="","",(M116-MIN($M$2:$M$127))/(MAX($M$2:$M$127)-MIN($M$2:$M$127))),"")</f>
        <v/>
      </c>
      <c r="P116" s="2">
        <f>IFERROR(IF(N116="","",(N116-MIN($N$2:$N$127))/(MAX($N$2:$N$127)-MIN($N$2:$N$127))),"")</f>
        <v/>
      </c>
      <c r="Q116" s="2">
        <f>IF(O116="","",IF(P116="",O116,(O116+P116)/2))</f>
        <v/>
      </c>
      <c r="R116" s="2">
        <f>IF(OR(I116="",D116=""),"",I116/D116)</f>
        <v/>
      </c>
      <c r="S116" s="2">
        <f>IFERROR(IF(R116="","",(R116-MIN($R$2:$R$127))/(MAX($R$2:$R$127)-MIN($R$2:$R$127))),"")</f>
        <v/>
      </c>
      <c r="T116" s="2">
        <f>IFERROR(IF(K116="","",(K116-MIN($K$2:$K$127))/(MAX($K$2:$K$127)-MIN($K$2:$K$127))),"")</f>
        <v/>
      </c>
      <c r="U116" s="2">
        <f>IFERROR(IF(L116="","",(L116-MIN($L$2:$L$127))/(MAX($L$2:$L$127)-MIN($L$2:$L$127))),"")</f>
        <v/>
      </c>
      <c r="V116" s="2">
        <f>IF(Q116="","",W_space*Q116+W_service*IF(S116="",0,S116)+W_cat*IF(T116="",0,T116)+W_itin*IF(U116="",0,U116))</f>
        <v/>
      </c>
      <c r="W116" s="2">
        <f>IF(OR(V116="",J116=""),"",V116/(J116/1000))</f>
        <v/>
      </c>
      <c r="X116" s="2">
        <f>IF(F116="",PenMissing,1)*IF(G116="",PenMissing,1)*IF(I116="",PenMissing,1)*IF(J116="",PenMissing,1)</f>
        <v/>
      </c>
      <c r="Y116" s="2">
        <f>IFERROR(IF(W116="","",100*(W116-MIN($W$2:$W$127))/(MAX($W$2:$W$127)-MIN($W$2:$W$127))),"")</f>
        <v/>
      </c>
      <c r="Z116" s="2">
        <f>IF(Y116="","",ROUND(Y116*X116,1))</f>
        <v/>
      </c>
      <c r="AA116" t="inlineStr">
        <is>
          <t>missing_price_per_day</t>
        </is>
      </c>
    </row>
    <row r="117">
      <c r="A117" s="2">
        <f>IF(Z117="","",RANK(Z117,$Z$2:$Z$127))</f>
        <v/>
      </c>
      <c r="B117" t="inlineStr">
        <is>
          <t>Stella Maris Galápagos Charter</t>
        </is>
      </c>
      <c r="C117" t="inlineStr">
        <is>
          <t>Luxury</t>
        </is>
      </c>
      <c r="D117" s="3" t="n">
        <v>14</v>
      </c>
      <c r="E117" s="3" t="n"/>
      <c r="F117" s="3" t="n">
        <v>40</v>
      </c>
      <c r="G117" s="3" t="n"/>
      <c r="H117" s="3" t="n"/>
      <c r="I117" s="3" t="n"/>
      <c r="J117" s="3" t="n"/>
      <c r="K117" s="3" t="n"/>
      <c r="M117" s="2">
        <f>IF(OR(F117="",G117="",D117=""),"",ROUND(F117*G117/D117,1))</f>
        <v/>
      </c>
      <c r="N117" s="2">
        <f>IF(OR(H117="",D117=""),"",ROUND(H117/D117,1))</f>
        <v/>
      </c>
      <c r="O117" s="2">
        <f>IFERROR(IF(M117="","",(M117-MIN($M$2:$M$127))/(MAX($M$2:$M$127)-MIN($M$2:$M$127))),"")</f>
        <v/>
      </c>
      <c r="P117" s="2">
        <f>IFERROR(IF(N117="","",(N117-MIN($N$2:$N$127))/(MAX($N$2:$N$127)-MIN($N$2:$N$127))),"")</f>
        <v/>
      </c>
      <c r="Q117" s="2">
        <f>IF(O117="","",IF(P117="",O117,(O117+P117)/2))</f>
        <v/>
      </c>
      <c r="R117" s="2">
        <f>IF(OR(I117="",D117=""),"",I117/D117)</f>
        <v/>
      </c>
      <c r="S117" s="2">
        <f>IFERROR(IF(R117="","",(R117-MIN($R$2:$R$127))/(MAX($R$2:$R$127)-MIN($R$2:$R$127))),"")</f>
        <v/>
      </c>
      <c r="T117" s="2">
        <f>IFERROR(IF(K117="","",(K117-MIN($K$2:$K$127))/(MAX($K$2:$K$127)-MIN($K$2:$K$127))),"")</f>
        <v/>
      </c>
      <c r="U117" s="2">
        <f>IFERROR(IF(L117="","",(L117-MIN($L$2:$L$127))/(MAX($L$2:$L$127)-MIN($L$2:$L$127))),"")</f>
        <v/>
      </c>
      <c r="V117" s="2">
        <f>IF(Q117="","",W_space*Q117+W_service*IF(S117="",0,S117)+W_cat*IF(T117="",0,T117)+W_itin*IF(U117="",0,U117))</f>
        <v/>
      </c>
      <c r="W117" s="2">
        <f>IF(OR(V117="",J117=""),"",V117/(J117/1000))</f>
        <v/>
      </c>
      <c r="X117" s="2">
        <f>IF(F117="",PenMissing,1)*IF(G117="",PenMissing,1)*IF(I117="",PenMissing,1)*IF(J117="",PenMissing,1)</f>
        <v/>
      </c>
      <c r="Y117" s="2">
        <f>IFERROR(IF(W117="","",100*(W117-MIN($W$2:$W$127))/(MAX($W$2:$W$127)-MIN($W$2:$W$127))),"")</f>
        <v/>
      </c>
      <c r="Z117" s="2">
        <f>IF(Y117="","",ROUND(Y117*X117,1))</f>
        <v/>
      </c>
      <c r="AA117" t="inlineStr">
        <is>
          <t>no_engine_data, missing_beam_m, missing_crew_count, missing_price_per_day</t>
        </is>
      </c>
    </row>
    <row r="118">
      <c r="A118" s="2">
        <f>IF(Z118="","",RANK(Z118,$Z$2:$Z$127))</f>
        <v/>
      </c>
      <c r="B118" t="inlineStr">
        <is>
          <t>Test ship</t>
        </is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M118" s="2">
        <f>IF(OR(F118="",G118="",D118=""),"",ROUND(F118*G118/D118,1))</f>
        <v/>
      </c>
      <c r="N118" s="2">
        <f>IF(OR(H118="",D118=""),"",ROUND(H118/D118,1))</f>
        <v/>
      </c>
      <c r="O118" s="2">
        <f>IFERROR(IF(M118="","",(M118-MIN($M$2:$M$127))/(MAX($M$2:$M$127)-MIN($M$2:$M$127))),"")</f>
        <v/>
      </c>
      <c r="P118" s="2">
        <f>IFERROR(IF(N118="","",(N118-MIN($N$2:$N$127))/(MAX($N$2:$N$127)-MIN($N$2:$N$127))),"")</f>
        <v/>
      </c>
      <c r="Q118" s="2">
        <f>IF(O118="","",IF(P118="",O118,(O118+P118)/2))</f>
        <v/>
      </c>
      <c r="R118" s="2">
        <f>IF(OR(I118="",D118=""),"",I118/D118)</f>
        <v/>
      </c>
      <c r="S118" s="2">
        <f>IFERROR(IF(R118="","",(R118-MIN($R$2:$R$127))/(MAX($R$2:$R$127)-MIN($R$2:$R$127))),"")</f>
        <v/>
      </c>
      <c r="T118" s="2">
        <f>IFERROR(IF(K118="","",(K118-MIN($K$2:$K$127))/(MAX($K$2:$K$127)-MIN($K$2:$K$127))),"")</f>
        <v/>
      </c>
      <c r="U118" s="2">
        <f>IFERROR(IF(L118="","",(L118-MIN($L$2:$L$127))/(MAX($L$2:$L$127)-MIN($L$2:$L$127))),"")</f>
        <v/>
      </c>
      <c r="V118" s="2">
        <f>IF(Q118="","",W_space*Q118+W_service*IF(S118="",0,S118)+W_cat*IF(T118="",0,T118)+W_itin*IF(U118="",0,U118))</f>
        <v/>
      </c>
      <c r="W118" s="2">
        <f>IF(OR(V118="",J118=""),"",V118/(J118/1000))</f>
        <v/>
      </c>
      <c r="X118" s="2">
        <f>IF(F118="",PenMissing,1)*IF(G118="",PenMissing,1)*IF(I118="",PenMissing,1)*IF(J118="",PenMissing,1)</f>
        <v/>
      </c>
      <c r="Y118" s="2">
        <f>IFERROR(IF(W118="","",100*(W118-MIN($W$2:$W$127))/(MAX($W$2:$W$127)-MIN($W$2:$W$127))),"")</f>
        <v/>
      </c>
      <c r="Z118" s="2">
        <f>IF(Y118="","",ROUND(Y118*X118,1))</f>
        <v/>
      </c>
      <c r="AA118" t="inlineStr">
        <is>
          <t>no_engine_data, missing_length_m, missing_beam_m, missing_speed_kn, missing_crew_count, missing_price_per_day</t>
        </is>
      </c>
    </row>
    <row r="119">
      <c r="A119" s="2">
        <f>IF(Z119="","",RANK(Z119,$Z$2:$Z$127))</f>
        <v/>
      </c>
      <c r="B119" t="inlineStr">
        <is>
          <t>Tiburon Explorer</t>
        </is>
      </c>
      <c r="C119" t="inlineStr">
        <is>
          <t>Premium</t>
        </is>
      </c>
      <c r="D119" s="3" t="n">
        <v>16</v>
      </c>
      <c r="E119" s="3" t="n">
        <v>9</v>
      </c>
      <c r="F119" s="3" t="n">
        <v>38.1</v>
      </c>
      <c r="G119" s="3" t="n">
        <v>5</v>
      </c>
      <c r="H119" s="3" t="n"/>
      <c r="I119" s="3" t="n">
        <v>11</v>
      </c>
      <c r="J119" s="3" t="n"/>
      <c r="K119" s="3" t="n">
        <v>4</v>
      </c>
      <c r="M119" s="2">
        <f>IF(OR(F119="",G119="",D119=""),"",ROUND(F119*G119/D119,1))</f>
        <v/>
      </c>
      <c r="N119" s="2">
        <f>IF(OR(H119="",D119=""),"",ROUND(H119/D119,1))</f>
        <v/>
      </c>
      <c r="O119" s="2">
        <f>IFERROR(IF(M119="","",(M119-MIN($M$2:$M$127))/(MAX($M$2:$M$127)-MIN($M$2:$M$127))),"")</f>
        <v/>
      </c>
      <c r="P119" s="2">
        <f>IFERROR(IF(N119="","",(N119-MIN($N$2:$N$127))/(MAX($N$2:$N$127)-MIN($N$2:$N$127))),"")</f>
        <v/>
      </c>
      <c r="Q119" s="2">
        <f>IF(O119="","",IF(P119="",O119,(O119+P119)/2))</f>
        <v/>
      </c>
      <c r="R119" s="2">
        <f>IF(OR(I119="",D119=""),"",I119/D119)</f>
        <v/>
      </c>
      <c r="S119" s="2">
        <f>IFERROR(IF(R119="","",(R119-MIN($R$2:$R$127))/(MAX($R$2:$R$127)-MIN($R$2:$R$127))),"")</f>
        <v/>
      </c>
      <c r="T119" s="2">
        <f>IFERROR(IF(K119="","",(K119-MIN($K$2:$K$127))/(MAX($K$2:$K$127)-MIN($K$2:$K$127))),"")</f>
        <v/>
      </c>
      <c r="U119" s="2">
        <f>IFERROR(IF(L119="","",(L119-MIN($L$2:$L$127))/(MAX($L$2:$L$127)-MIN($L$2:$L$127))),"")</f>
        <v/>
      </c>
      <c r="V119" s="2">
        <f>IF(Q119="","",W_space*Q119+W_service*IF(S119="",0,S119)+W_cat*IF(T119="",0,T119)+W_itin*IF(U119="",0,U119))</f>
        <v/>
      </c>
      <c r="W119" s="2">
        <f>IF(OR(V119="",J119=""),"",V119/(J119/1000))</f>
        <v/>
      </c>
      <c r="X119" s="2">
        <f>IF(F119="",PenMissing,1)*IF(G119="",PenMissing,1)*IF(I119="",PenMissing,1)*IF(J119="",PenMissing,1)</f>
        <v/>
      </c>
      <c r="Y119" s="2">
        <f>IFERROR(IF(W119="","",100*(W119-MIN($W$2:$W$127))/(MAX($W$2:$W$127)-MIN($W$2:$W$127))),"")</f>
        <v/>
      </c>
      <c r="Z119" s="2">
        <f>IF(Y119="","",ROUND(Y119*X119,1))</f>
        <v/>
      </c>
      <c r="AA119" t="inlineStr">
        <is>
          <t>length_ft_m_mismatch, missing_price_per_day</t>
        </is>
      </c>
    </row>
    <row r="120">
      <c r="A120" s="2">
        <f>IF(Z120="","",RANK(Z120,$Z$2:$Z$127))</f>
        <v/>
      </c>
      <c r="B120" t="inlineStr">
        <is>
          <t>Tip Top V</t>
        </is>
      </c>
      <c r="C120" t="inlineStr">
        <is>
          <t>Premium</t>
        </is>
      </c>
      <c r="D120" s="3" t="n">
        <v>16</v>
      </c>
      <c r="E120" s="3" t="n">
        <v>10</v>
      </c>
      <c r="F120" s="3" t="n">
        <v>34.1</v>
      </c>
      <c r="G120" s="3" t="n"/>
      <c r="H120" s="3" t="n"/>
      <c r="I120" s="3" t="n">
        <v>10</v>
      </c>
      <c r="J120" s="3" t="n">
        <v>3088</v>
      </c>
      <c r="K120" s="3" t="n">
        <v>4</v>
      </c>
      <c r="M120" s="2">
        <f>IF(OR(F120="",G120="",D120=""),"",ROUND(F120*G120/D120,1))</f>
        <v/>
      </c>
      <c r="N120" s="2">
        <f>IF(OR(H120="",D120=""),"",ROUND(H120/D120,1))</f>
        <v/>
      </c>
      <c r="O120" s="2">
        <f>IFERROR(IF(M120="","",(M120-MIN($M$2:$M$127))/(MAX($M$2:$M$127)-MIN($M$2:$M$127))),"")</f>
        <v/>
      </c>
      <c r="P120" s="2">
        <f>IFERROR(IF(N120="","",(N120-MIN($N$2:$N$127))/(MAX($N$2:$N$127)-MIN($N$2:$N$127))),"")</f>
        <v/>
      </c>
      <c r="Q120" s="2">
        <f>IF(O120="","",IF(P120="",O120,(O120+P120)/2))</f>
        <v/>
      </c>
      <c r="R120" s="2">
        <f>IF(OR(I120="",D120=""),"",I120/D120)</f>
        <v/>
      </c>
      <c r="S120" s="2">
        <f>IFERROR(IF(R120="","",(R120-MIN($R$2:$R$127))/(MAX($R$2:$R$127)-MIN($R$2:$R$127))),"")</f>
        <v/>
      </c>
      <c r="T120" s="2">
        <f>IFERROR(IF(K120="","",(K120-MIN($K$2:$K$127))/(MAX($K$2:$K$127)-MIN($K$2:$K$127))),"")</f>
        <v/>
      </c>
      <c r="U120" s="2">
        <f>IFERROR(IF(L120="","",(L120-MIN($L$2:$L$127))/(MAX($L$2:$L$127)-MIN($L$2:$L$127))),"")</f>
        <v/>
      </c>
      <c r="V120" s="2">
        <f>IF(Q120="","",W_space*Q120+W_service*IF(S120="",0,S120)+W_cat*IF(T120="",0,T120)+W_itin*IF(U120="",0,U120))</f>
        <v/>
      </c>
      <c r="W120" s="2">
        <f>IF(OR(V120="",J120=""),"",V120/(J120/1000))</f>
        <v/>
      </c>
      <c r="X120" s="2">
        <f>IF(F120="",PenMissing,1)*IF(G120="",PenMissing,1)*IF(I120="",PenMissing,1)*IF(J120="",PenMissing,1)</f>
        <v/>
      </c>
      <c r="Y120" s="2">
        <f>IFERROR(IF(W120="","",100*(W120-MIN($W$2:$W$127))/(MAX($W$2:$W$127)-MIN($W$2:$W$127))),"")</f>
        <v/>
      </c>
      <c r="Z120" s="2">
        <f>IF(Y120="","",ROUND(Y120*X120,1))</f>
        <v/>
      </c>
      <c r="AA120" t="inlineStr">
        <is>
          <t>missing_beam_m</t>
        </is>
      </c>
    </row>
    <row r="121">
      <c r="A121" s="2">
        <f>IF(Z121="","",RANK(Z121,$Z$2:$Z$127))</f>
        <v/>
      </c>
      <c r="B121" t="inlineStr">
        <is>
          <t>Treasure</t>
        </is>
      </c>
      <c r="C121" t="inlineStr">
        <is>
          <t>Premium</t>
        </is>
      </c>
      <c r="D121" s="3" t="n">
        <v>16</v>
      </c>
      <c r="E121" s="3" t="n"/>
      <c r="F121" s="3" t="n">
        <v>31</v>
      </c>
      <c r="G121" s="3" t="n"/>
      <c r="H121" s="3" t="n"/>
      <c r="I121" s="3" t="n"/>
      <c r="J121" s="3" t="n"/>
      <c r="K121" s="3" t="n"/>
      <c r="M121" s="2">
        <f>IF(OR(F121="",G121="",D121=""),"",ROUND(F121*G121/D121,1))</f>
        <v/>
      </c>
      <c r="N121" s="2">
        <f>IF(OR(H121="",D121=""),"",ROUND(H121/D121,1))</f>
        <v/>
      </c>
      <c r="O121" s="2">
        <f>IFERROR(IF(M121="","",(M121-MIN($M$2:$M$127))/(MAX($M$2:$M$127)-MIN($M$2:$M$127))),"")</f>
        <v/>
      </c>
      <c r="P121" s="2">
        <f>IFERROR(IF(N121="","",(N121-MIN($N$2:$N$127))/(MAX($N$2:$N$127)-MIN($N$2:$N$127))),"")</f>
        <v/>
      </c>
      <c r="Q121" s="2">
        <f>IF(O121="","",IF(P121="",O121,(O121+P121)/2))</f>
        <v/>
      </c>
      <c r="R121" s="2">
        <f>IF(OR(I121="",D121=""),"",I121/D121)</f>
        <v/>
      </c>
      <c r="S121" s="2">
        <f>IFERROR(IF(R121="","",(R121-MIN($R$2:$R$127))/(MAX($R$2:$R$127)-MIN($R$2:$R$127))),"")</f>
        <v/>
      </c>
      <c r="T121" s="2">
        <f>IFERROR(IF(K121="","",(K121-MIN($K$2:$K$127))/(MAX($K$2:$K$127)-MIN($K$2:$K$127))),"")</f>
        <v/>
      </c>
      <c r="U121" s="2">
        <f>IFERROR(IF(L121="","",(L121-MIN($L$2:$L$127))/(MAX($L$2:$L$127)-MIN($L$2:$L$127))),"")</f>
        <v/>
      </c>
      <c r="V121" s="2">
        <f>IF(Q121="","",W_space*Q121+W_service*IF(S121="",0,S121)+W_cat*IF(T121="",0,T121)+W_itin*IF(U121="",0,U121))</f>
        <v/>
      </c>
      <c r="W121" s="2">
        <f>IF(OR(V121="",J121=""),"",V121/(J121/1000))</f>
        <v/>
      </c>
      <c r="X121" s="2">
        <f>IF(F121="",PenMissing,1)*IF(G121="",PenMissing,1)*IF(I121="",PenMissing,1)*IF(J121="",PenMissing,1)</f>
        <v/>
      </c>
      <c r="Y121" s="2">
        <f>IFERROR(IF(W121="","",100*(W121-MIN($W$2:$W$127))/(MAX($W$2:$W$127)-MIN($W$2:$W$127))),"")</f>
        <v/>
      </c>
      <c r="Z121" s="2">
        <f>IF(Y121="","",ROUND(Y121*X121,1))</f>
        <v/>
      </c>
      <c r="AA121" t="inlineStr">
        <is>
          <t>no_engine_data, missing_beam_m, missing_speed_kn, missing_crew_count, missing_price_per_day</t>
        </is>
      </c>
    </row>
    <row r="122">
      <c r="A122" s="2">
        <f>IF(Z122="","",RANK(Z122,$Z$2:$Z$127))</f>
        <v/>
      </c>
      <c r="B122" t="inlineStr">
        <is>
          <t>Tribute</t>
        </is>
      </c>
      <c r="C122" t="inlineStr">
        <is>
          <t>Luxury</t>
        </is>
      </c>
      <c r="D122" s="3" t="n">
        <v>16</v>
      </c>
      <c r="E122" s="3" t="n">
        <v>8</v>
      </c>
      <c r="F122" s="3" t="n">
        <v>43</v>
      </c>
      <c r="G122" s="3" t="n">
        <v>8</v>
      </c>
      <c r="H122" s="3" t="n"/>
      <c r="I122" s="3" t="n">
        <v>14</v>
      </c>
      <c r="J122" s="3" t="n"/>
      <c r="K122" s="3" t="n">
        <v>5</v>
      </c>
      <c r="M122" s="2">
        <f>IF(OR(F122="",G122="",D122=""),"",ROUND(F122*G122/D122,1))</f>
        <v/>
      </c>
      <c r="N122" s="2">
        <f>IF(OR(H122="",D122=""),"",ROUND(H122/D122,1))</f>
        <v/>
      </c>
      <c r="O122" s="2">
        <f>IFERROR(IF(M122="","",(M122-MIN($M$2:$M$127))/(MAX($M$2:$M$127)-MIN($M$2:$M$127))),"")</f>
        <v/>
      </c>
      <c r="P122" s="2">
        <f>IFERROR(IF(N122="","",(N122-MIN($N$2:$N$127))/(MAX($N$2:$N$127)-MIN($N$2:$N$127))),"")</f>
        <v/>
      </c>
      <c r="Q122" s="2">
        <f>IF(O122="","",IF(P122="",O122,(O122+P122)/2))</f>
        <v/>
      </c>
      <c r="R122" s="2">
        <f>IF(OR(I122="",D122=""),"",I122/D122)</f>
        <v/>
      </c>
      <c r="S122" s="2">
        <f>IFERROR(IF(R122="","",(R122-MIN($R$2:$R$127))/(MAX($R$2:$R$127)-MIN($R$2:$R$127))),"")</f>
        <v/>
      </c>
      <c r="T122" s="2">
        <f>IFERROR(IF(K122="","",(K122-MIN($K$2:$K$127))/(MAX($K$2:$K$127)-MIN($K$2:$K$127))),"")</f>
        <v/>
      </c>
      <c r="U122" s="2">
        <f>IFERROR(IF(L122="","",(L122-MIN($L$2:$L$127))/(MAX($L$2:$L$127)-MIN($L$2:$L$127))),"")</f>
        <v/>
      </c>
      <c r="V122" s="2">
        <f>IF(Q122="","",W_space*Q122+W_service*IF(S122="",0,S122)+W_cat*IF(T122="",0,T122)+W_itin*IF(U122="",0,U122))</f>
        <v/>
      </c>
      <c r="W122" s="2">
        <f>IF(OR(V122="",J122=""),"",V122/(J122/1000))</f>
        <v/>
      </c>
      <c r="X122" s="2">
        <f>IF(F122="",PenMissing,1)*IF(G122="",PenMissing,1)*IF(I122="",PenMissing,1)*IF(J122="",PenMissing,1)</f>
        <v/>
      </c>
      <c r="Y122" s="2">
        <f>IFERROR(IF(W122="","",100*(W122-MIN($W$2:$W$127))/(MAX($W$2:$W$127)-MIN($W$2:$W$127))),"")</f>
        <v/>
      </c>
      <c r="Z122" s="2">
        <f>IF(Y122="","",ROUND(Y122*X122,1))</f>
        <v/>
      </c>
      <c r="AA122" t="inlineStr">
        <is>
          <t>missing_price_per_day</t>
        </is>
      </c>
    </row>
    <row r="123">
      <c r="A123" s="2">
        <f>IF(Z123="","",RANK(Z123,$Z$2:$Z$127))</f>
        <v/>
      </c>
      <c r="B123" t="inlineStr">
        <is>
          <t>Xavier III</t>
        </is>
      </c>
      <c r="C123" t="inlineStr">
        <is>
          <t>Classic</t>
        </is>
      </c>
      <c r="D123" s="3" t="n">
        <v>16</v>
      </c>
      <c r="E123" s="3" t="n"/>
      <c r="F123" s="3" t="n"/>
      <c r="G123" s="3" t="n"/>
      <c r="H123" s="3" t="n"/>
      <c r="I123" s="3" t="n"/>
      <c r="J123" s="3" t="n"/>
      <c r="K123" s="3" t="n"/>
      <c r="M123" s="2">
        <f>IF(OR(F123="",G123="",D123=""),"",ROUND(F123*G123/D123,1))</f>
        <v/>
      </c>
      <c r="N123" s="2">
        <f>IF(OR(H123="",D123=""),"",ROUND(H123/D123,1))</f>
        <v/>
      </c>
      <c r="O123" s="2">
        <f>IFERROR(IF(M123="","",(M123-MIN($M$2:$M$127))/(MAX($M$2:$M$127)-MIN($M$2:$M$127))),"")</f>
        <v/>
      </c>
      <c r="P123" s="2">
        <f>IFERROR(IF(N123="","",(N123-MIN($N$2:$N$127))/(MAX($N$2:$N$127)-MIN($N$2:$N$127))),"")</f>
        <v/>
      </c>
      <c r="Q123" s="2">
        <f>IF(O123="","",IF(P123="",O123,(O123+P123)/2))</f>
        <v/>
      </c>
      <c r="R123" s="2">
        <f>IF(OR(I123="",D123=""),"",I123/D123)</f>
        <v/>
      </c>
      <c r="S123" s="2">
        <f>IFERROR(IF(R123="","",(R123-MIN($R$2:$R$127))/(MAX($R$2:$R$127)-MIN($R$2:$R$127))),"")</f>
        <v/>
      </c>
      <c r="T123" s="2">
        <f>IFERROR(IF(K123="","",(K123-MIN($K$2:$K$127))/(MAX($K$2:$K$127)-MIN($K$2:$K$127))),"")</f>
        <v/>
      </c>
      <c r="U123" s="2">
        <f>IFERROR(IF(L123="","",(L123-MIN($L$2:$L$127))/(MAX($L$2:$L$127)-MIN($L$2:$L$127))),"")</f>
        <v/>
      </c>
      <c r="V123" s="2">
        <f>IF(Q123="","",W_space*Q123+W_service*IF(S123="",0,S123)+W_cat*IF(T123="",0,T123)+W_itin*IF(U123="",0,U123))</f>
        <v/>
      </c>
      <c r="W123" s="2">
        <f>IF(OR(V123="",J123=""),"",V123/(J123/1000))</f>
        <v/>
      </c>
      <c r="X123" s="2">
        <f>IF(F123="",PenMissing,1)*IF(G123="",PenMissing,1)*IF(I123="",PenMissing,1)*IF(J123="",PenMissing,1)</f>
        <v/>
      </c>
      <c r="Y123" s="2">
        <f>IFERROR(IF(W123="","",100*(W123-MIN($W$2:$W$127))/(MAX($W$2:$W$127)-MIN($W$2:$W$127))),"")</f>
        <v/>
      </c>
      <c r="Z123" s="2">
        <f>IF(Y123="","",ROUND(Y123*X123,1))</f>
        <v/>
      </c>
      <c r="AA123" t="inlineStr">
        <is>
          <t>no_engine_data, missing_length_m, missing_beam_m, missing_crew_count, missing_price_per_day</t>
        </is>
      </c>
    </row>
    <row r="124">
      <c r="A124" s="2">
        <f>IF(Z124="","",RANK(Z124,$Z$2:$Z$127))</f>
        <v/>
      </c>
      <c r="B124" t="inlineStr">
        <is>
          <t>XPERIENCE</t>
        </is>
      </c>
      <c r="C124" t="inlineStr">
        <is>
          <t>Luxury</t>
        </is>
      </c>
      <c r="D124" s="3" t="n">
        <v>48</v>
      </c>
      <c r="E124" s="3" t="n">
        <v>24</v>
      </c>
      <c r="F124" s="3" t="n"/>
      <c r="G124" s="3" t="n"/>
      <c r="H124" s="3" t="n"/>
      <c r="I124" s="3" t="n"/>
      <c r="J124" s="3" t="n"/>
      <c r="K124" s="3" t="n"/>
      <c r="L124" t="n">
        <v>65.2</v>
      </c>
      <c r="M124" s="2">
        <f>IF(OR(F124="",G124="",D124=""),"",ROUND(F124*G124/D124,1))</f>
        <v/>
      </c>
      <c r="N124" s="2">
        <f>IF(OR(H124="",D124=""),"",ROUND(H124/D124,1))</f>
        <v/>
      </c>
      <c r="O124" s="2">
        <f>IFERROR(IF(M124="","",(M124-MIN($M$2:$M$127))/(MAX($M$2:$M$127)-MIN($M$2:$M$127))),"")</f>
        <v/>
      </c>
      <c r="P124" s="2">
        <f>IFERROR(IF(N124="","",(N124-MIN($N$2:$N$127))/(MAX($N$2:$N$127)-MIN($N$2:$N$127))),"")</f>
        <v/>
      </c>
      <c r="Q124" s="2">
        <f>IF(O124="","",IF(P124="",O124,(O124+P124)/2))</f>
        <v/>
      </c>
      <c r="R124" s="2">
        <f>IF(OR(I124="",D124=""),"",I124/D124)</f>
        <v/>
      </c>
      <c r="S124" s="2">
        <f>IFERROR(IF(R124="","",(R124-MIN($R$2:$R$127))/(MAX($R$2:$R$127)-MIN($R$2:$R$127))),"")</f>
        <v/>
      </c>
      <c r="T124" s="2">
        <f>IFERROR(IF(K124="","",(K124-MIN($K$2:$K$127))/(MAX($K$2:$K$127)-MIN($K$2:$K$127))),"")</f>
        <v/>
      </c>
      <c r="U124" s="2">
        <f>IFERROR(IF(L124="","",(L124-MIN($L$2:$L$127))/(MAX($L$2:$L$127)-MIN($L$2:$L$127))),"")</f>
        <v/>
      </c>
      <c r="V124" s="2">
        <f>IF(Q124="","",W_space*Q124+W_service*IF(S124="",0,S124)+W_cat*IF(T124="",0,T124)+W_itin*IF(U124="",0,U124))</f>
        <v/>
      </c>
      <c r="W124" s="2">
        <f>IF(OR(V124="",J124=""),"",V124/(J124/1000))</f>
        <v/>
      </c>
      <c r="X124" s="2">
        <f>IF(F124="",PenMissing,1)*IF(G124="",PenMissing,1)*IF(I124="",PenMissing,1)*IF(J124="",PenMissing,1)</f>
        <v/>
      </c>
      <c r="Y124" s="2">
        <f>IFERROR(IF(W124="","",100*(W124-MIN($W$2:$W$127))/(MAX($W$2:$W$127)-MIN($W$2:$W$127))),"")</f>
        <v/>
      </c>
      <c r="Z124" s="2">
        <f>IF(Y124="","",ROUND(Y124*X124,1))</f>
        <v/>
      </c>
      <c r="AA124" t="inlineStr">
        <is>
          <t>no_engine_data, missing_length_m, missing_beam_m, missing_speed_kn, missing_crew_count, missing_price_per_day</t>
        </is>
      </c>
    </row>
    <row r="125">
      <c r="A125" s="2">
        <f>IF(Z125="","",RANK(Z125,$Z$2:$Z$127))</f>
        <v/>
      </c>
      <c r="B125" t="inlineStr">
        <is>
          <t>XPLORATION</t>
        </is>
      </c>
      <c r="C125" t="inlineStr">
        <is>
          <t>Luxury</t>
        </is>
      </c>
      <c r="D125" s="3" t="n">
        <v>16</v>
      </c>
      <c r="E125" s="3" t="n">
        <v>8</v>
      </c>
      <c r="F125" s="3" t="n"/>
      <c r="G125" s="3" t="n"/>
      <c r="H125" s="3" t="n"/>
      <c r="I125" s="3" t="n"/>
      <c r="J125" s="3" t="n"/>
      <c r="K125" s="3" t="n"/>
      <c r="L125" t="n">
        <v>65.2</v>
      </c>
      <c r="M125" s="2">
        <f>IF(OR(F125="",G125="",D125=""),"",ROUND(F125*G125/D125,1))</f>
        <v/>
      </c>
      <c r="N125" s="2">
        <f>IF(OR(H125="",D125=""),"",ROUND(H125/D125,1))</f>
        <v/>
      </c>
      <c r="O125" s="2">
        <f>IFERROR(IF(M125="","",(M125-MIN($M$2:$M$127))/(MAX($M$2:$M$127)-MIN($M$2:$M$127))),"")</f>
        <v/>
      </c>
      <c r="P125" s="2">
        <f>IFERROR(IF(N125="","",(N125-MIN($N$2:$N$127))/(MAX($N$2:$N$127)-MIN($N$2:$N$127))),"")</f>
        <v/>
      </c>
      <c r="Q125" s="2">
        <f>IF(O125="","",IF(P125="",O125,(O125+P125)/2))</f>
        <v/>
      </c>
      <c r="R125" s="2">
        <f>IF(OR(I125="",D125=""),"",I125/D125)</f>
        <v/>
      </c>
      <c r="S125" s="2">
        <f>IFERROR(IF(R125="","",(R125-MIN($R$2:$R$127))/(MAX($R$2:$R$127)-MIN($R$2:$R$127))),"")</f>
        <v/>
      </c>
      <c r="T125" s="2">
        <f>IFERROR(IF(K125="","",(K125-MIN($K$2:$K$127))/(MAX($K$2:$K$127)-MIN($K$2:$K$127))),"")</f>
        <v/>
      </c>
      <c r="U125" s="2">
        <f>IFERROR(IF(L125="","",(L125-MIN($L$2:$L$127))/(MAX($L$2:$L$127)-MIN($L$2:$L$127))),"")</f>
        <v/>
      </c>
      <c r="V125" s="2">
        <f>IF(Q125="","",W_space*Q125+W_service*IF(S125="",0,S125)+W_cat*IF(T125="",0,T125)+W_itin*IF(U125="",0,U125))</f>
        <v/>
      </c>
      <c r="W125" s="2">
        <f>IF(OR(V125="",J125=""),"",V125/(J125/1000))</f>
        <v/>
      </c>
      <c r="X125" s="2">
        <f>IF(F125="",PenMissing,1)*IF(G125="",PenMissing,1)*IF(I125="",PenMissing,1)*IF(J125="",PenMissing,1)</f>
        <v/>
      </c>
      <c r="Y125" s="2">
        <f>IFERROR(IF(W125="","",100*(W125-MIN($W$2:$W$127))/(MAX($W$2:$W$127)-MIN($W$2:$W$127))),"")</f>
        <v/>
      </c>
      <c r="Z125" s="2">
        <f>IF(Y125="","",ROUND(Y125*X125,1))</f>
        <v/>
      </c>
      <c r="AA125" t="inlineStr">
        <is>
          <t>no_engine_data, missing_length_m, missing_beam_m, missing_speed_kn, missing_crew_count, missing_price_per_day</t>
        </is>
      </c>
    </row>
    <row r="126">
      <c r="A126" s="2">
        <f>IF(Z126="","",RANK(Z126,$Z$2:$Z$127))</f>
        <v/>
      </c>
      <c r="B126" t="inlineStr">
        <is>
          <t>Yolita</t>
        </is>
      </c>
      <c r="D126" s="3" t="n">
        <v>16</v>
      </c>
      <c r="E126" s="3" t="n">
        <v>8</v>
      </c>
      <c r="F126" s="3" t="n"/>
      <c r="G126" s="3" t="n">
        <v>8</v>
      </c>
      <c r="H126" s="3" t="n"/>
      <c r="I126" s="3" t="n">
        <v>8</v>
      </c>
      <c r="J126" s="3" t="n">
        <v>4099</v>
      </c>
      <c r="K126" s="3" t="n">
        <v>3</v>
      </c>
      <c r="M126" s="2">
        <f>IF(OR(F126="",G126="",D126=""),"",ROUND(F126*G126/D126,1))</f>
        <v/>
      </c>
      <c r="N126" s="2">
        <f>IF(OR(H126="",D126=""),"",ROUND(H126/D126,1))</f>
        <v/>
      </c>
      <c r="O126" s="2">
        <f>IFERROR(IF(M126="","",(M126-MIN($M$2:$M$127))/(MAX($M$2:$M$127)-MIN($M$2:$M$127))),"")</f>
        <v/>
      </c>
      <c r="P126" s="2">
        <f>IFERROR(IF(N126="","",(N126-MIN($N$2:$N$127))/(MAX($N$2:$N$127)-MIN($N$2:$N$127))),"")</f>
        <v/>
      </c>
      <c r="Q126" s="2">
        <f>IF(O126="","",IF(P126="",O126,(O126+P126)/2))</f>
        <v/>
      </c>
      <c r="R126" s="2">
        <f>IF(OR(I126="",D126=""),"",I126/D126)</f>
        <v/>
      </c>
      <c r="S126" s="2">
        <f>IFERROR(IF(R126="","",(R126-MIN($R$2:$R$127))/(MAX($R$2:$R$127)-MIN($R$2:$R$127))),"")</f>
        <v/>
      </c>
      <c r="T126" s="2">
        <f>IFERROR(IF(K126="","",(K126-MIN($K$2:$K$127))/(MAX($K$2:$K$127)-MIN($K$2:$K$127))),"")</f>
        <v/>
      </c>
      <c r="U126" s="2">
        <f>IFERROR(IF(L126="","",(L126-MIN($L$2:$L$127))/(MAX($L$2:$L$127)-MIN($L$2:$L$127))),"")</f>
        <v/>
      </c>
      <c r="V126" s="2">
        <f>IF(Q126="","",W_space*Q126+W_service*IF(S126="",0,S126)+W_cat*IF(T126="",0,T126)+W_itin*IF(U126="",0,U126))</f>
        <v/>
      </c>
      <c r="W126" s="2">
        <f>IF(OR(V126="",J126=""),"",V126/(J126/1000))</f>
        <v/>
      </c>
      <c r="X126" s="2">
        <f>IF(F126="",PenMissing,1)*IF(G126="",PenMissing,1)*IF(I126="",PenMissing,1)*IF(J126="",PenMissing,1)</f>
        <v/>
      </c>
      <c r="Y126" s="2">
        <f>IFERROR(IF(W126="","",100*(W126-MIN($W$2:$W$127))/(MAX($W$2:$W$127)-MIN($W$2:$W$127))),"")</f>
        <v/>
      </c>
      <c r="Z126" s="2">
        <f>IF(Y126="","",ROUND(Y126*X126,1))</f>
        <v/>
      </c>
      <c r="AA126" t="inlineStr">
        <is>
          <t>length_ft_m_mismatch, missing_length_m</t>
        </is>
      </c>
    </row>
    <row r="127">
      <c r="A127" s="2">
        <f>IF(Z127="","",RANK(Z127,$Z$2:$Z$127))</f>
        <v/>
      </c>
      <c r="B127" t="inlineStr">
        <is>
          <t>Yolita II</t>
        </is>
      </c>
      <c r="C127" t="inlineStr">
        <is>
          <t>Classic</t>
        </is>
      </c>
      <c r="D127" s="3" t="n">
        <v>16</v>
      </c>
      <c r="E127" s="3" t="n">
        <v>10</v>
      </c>
      <c r="F127" s="3" t="n">
        <v>33</v>
      </c>
      <c r="G127" s="3" t="n"/>
      <c r="H127" s="3" t="n"/>
      <c r="I127" s="3" t="n"/>
      <c r="J127" s="3" t="n"/>
      <c r="K127" s="3" t="n"/>
      <c r="L127" t="n">
        <v>63.3</v>
      </c>
      <c r="M127" s="2">
        <f>IF(OR(F127="",G127="",D127=""),"",ROUND(F127*G127/D127,1))</f>
        <v/>
      </c>
      <c r="N127" s="2">
        <f>IF(OR(H127="",D127=""),"",ROUND(H127/D127,1))</f>
        <v/>
      </c>
      <c r="O127" s="2">
        <f>IFERROR(IF(M127="","",(M127-MIN($M$2:$M$127))/(MAX($M$2:$M$127)-MIN($M$2:$M$127))),"")</f>
        <v/>
      </c>
      <c r="P127" s="2">
        <f>IFERROR(IF(N127="","",(N127-MIN($N$2:$N$127))/(MAX($N$2:$N$127)-MIN($N$2:$N$127))),"")</f>
        <v/>
      </c>
      <c r="Q127" s="2">
        <f>IF(O127="","",IF(P127="",O127,(O127+P127)/2))</f>
        <v/>
      </c>
      <c r="R127" s="2">
        <f>IF(OR(I127="",D127=""),"",I127/D127)</f>
        <v/>
      </c>
      <c r="S127" s="2">
        <f>IFERROR(IF(R127="","",(R127-MIN($R$2:$R$127))/(MAX($R$2:$R$127)-MIN($R$2:$R$127))),"")</f>
        <v/>
      </c>
      <c r="T127" s="2">
        <f>IFERROR(IF(K127="","",(K127-MIN($K$2:$K$127))/(MAX($K$2:$K$127)-MIN($K$2:$K$127))),"")</f>
        <v/>
      </c>
      <c r="U127" s="2">
        <f>IFERROR(IF(L127="","",(L127-MIN($L$2:$L$127))/(MAX($L$2:$L$127)-MIN($L$2:$L$127))),"")</f>
        <v/>
      </c>
      <c r="V127" s="2">
        <f>IF(Q127="","",W_space*Q127+W_service*IF(S127="",0,S127)+W_cat*IF(T127="",0,T127)+W_itin*IF(U127="",0,U127))</f>
        <v/>
      </c>
      <c r="W127" s="2">
        <f>IF(OR(V127="",J127=""),"",V127/(J127/1000))</f>
        <v/>
      </c>
      <c r="X127" s="2">
        <f>IF(F127="",PenMissing,1)*IF(G127="",PenMissing,1)*IF(I127="",PenMissing,1)*IF(J127="",PenMissing,1)</f>
        <v/>
      </c>
      <c r="Y127" s="2">
        <f>IFERROR(IF(W127="","",100*(W127-MIN($W$2:$W$127))/(MAX($W$2:$W$127)-MIN($W$2:$W$127))),"")</f>
        <v/>
      </c>
      <c r="Z127" s="2">
        <f>IF(Y127="","",ROUND(Y127*X127,1))</f>
        <v/>
      </c>
      <c r="AA127" t="inlineStr">
        <is>
          <t>no_engine_data, missing_beam_m, missing_crew_count, missing_price_per_day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78" customWidth="1" min="3" max="3"/>
  </cols>
  <sheetData>
    <row r="1">
      <c r="A1" s="1" t="inlineStr">
        <is>
          <t>Constant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W_space</t>
        </is>
      </c>
      <c r="B2" s="3" t="n">
        <v>0.35</v>
      </c>
      <c r="C2" s="4" t="inlineStr">
        <is>
          <t>Quality weight: space per guest (deck area + tonnage)</t>
        </is>
      </c>
    </row>
    <row r="3">
      <c r="A3" t="inlineStr">
        <is>
          <t>W_service</t>
        </is>
      </c>
      <c r="B3" s="3" t="n">
        <v>0.3</v>
      </c>
      <c r="C3" s="4" t="inlineStr">
        <is>
          <t>Quality weight: crew per guest</t>
        </is>
      </c>
    </row>
    <row r="4">
      <c r="A4" t="inlineStr">
        <is>
          <t>W_cat</t>
        </is>
      </c>
      <c r="B4" s="3" t="n">
        <v>0.1</v>
      </c>
      <c r="C4" s="4" t="inlineStr">
        <is>
          <t>Quality weight: star category</t>
        </is>
      </c>
    </row>
    <row r="5">
      <c r="A5" t="inlineStr">
        <is>
          <t>W_itin</t>
        </is>
      </c>
      <c r="B5" s="3" t="n">
        <v>0.25</v>
      </c>
      <c r="C5" s="4" t="inlineStr">
        <is>
          <t>Quality weight: average itinerary quality of the boat's routes</t>
        </is>
      </c>
    </row>
    <row r="6">
      <c r="A6" t="inlineStr">
        <is>
          <t>PenMissing</t>
        </is>
      </c>
      <c r="B6" s="3" t="n">
        <v>0.85</v>
      </c>
      <c r="C6" s="4" t="inlineStr">
        <is>
          <t>VALUE × this per missing key input (length/beam/crew/price)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Topic</t>
        </is>
      </c>
      <c r="B1" s="1" t="inlineStr">
        <is>
          <t>Note</t>
        </is>
      </c>
    </row>
    <row r="2">
      <c r="A2" t="inlineStr">
        <is>
          <t>Living rating workbook</t>
        </is>
      </c>
      <c r="B2" s="4" t="inlineStr"/>
    </row>
    <row r="3">
      <c r="A3" t="inlineStr">
        <is>
          <t>Yellow cells</t>
        </is>
      </c>
      <c r="B3" s="4" t="inlineStr">
        <is>
          <t>Editable inputs (vessel specs). Correct or fill these by hand — values left blank were rejected as corrupt or were not displayed by the source.</t>
        </is>
      </c>
    </row>
    <row r="4">
      <c r="A4" t="inlineStr">
        <is>
          <t>Green cells</t>
        </is>
      </c>
      <c r="B4" s="4" t="inlineStr">
        <is>
          <t>Formulas — do not edit. They recompute automatically when you change a yellow input.</t>
        </is>
      </c>
    </row>
    <row r="5">
      <c r="A5" t="inlineStr">
        <is>
          <t>Constants sheet</t>
        </is>
      </c>
      <c r="B5" s="4" t="inlineStr">
        <is>
          <t>Model constants (physics coefficients, penalties) are named ranges — tune them and every sheet updates.</t>
        </is>
      </c>
    </row>
    <row r="6">
      <c r="A6" t="inlineStr">
        <is>
          <t>Downgrade</t>
        </is>
      </c>
      <c r="B6" s="4" t="inlineStr">
        <is>
          <t>A listing is automatically downgraded when key inputs (especially engine power) are blank — the data penalty multiplies its score.</t>
        </is>
      </c>
    </row>
    <row r="7">
      <c r="A7" t="inlineStr">
        <is>
          <t>Normalisation</t>
        </is>
      </c>
      <c r="B7" s="4" t="inlineStr">
        <is>
          <t>Scores use whole-column MAX/MIN, so editing one vessel re-scales the whole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2026-06-21T07:39:17Z</dcterms:created>
  <dcterms:modified xsi:type="dcterms:W3CDTF">2026-06-21T07:39:17Z</dcterms:modified>
</cp:coreProperties>
</file>